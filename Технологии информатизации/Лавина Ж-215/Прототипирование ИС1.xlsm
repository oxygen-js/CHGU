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2.xml" ContentType="application/vnd.ms-excel.controlproperties+xml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hidePivotFieldList="1" defaultThemeVersion="124226"/>
  <bookViews>
    <workbookView xWindow="0" yWindow="0" windowWidth="14370" windowHeight="7515" firstSheet="1" activeTab="3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ки" sheetId="5" r:id="rId5"/>
    <sheet name="Поставщики" sheetId="6" r:id="rId6"/>
    <sheet name="Сотрудники" sheetId="7" r:id="rId7"/>
    <sheet name="Начисление зп" sheetId="8" r:id="rId8"/>
    <sheet name="Система доступа" sheetId="10" r:id="rId9"/>
    <sheet name="Отчеты" sheetId="9" r:id="rId10"/>
    <sheet name="Прайс-лист" sheetId="11" r:id="rId11"/>
    <sheet name="План закупок" sheetId="12" r:id="rId12"/>
    <sheet name="Данные" sheetId="13" r:id="rId13"/>
  </sheets>
  <functionGroups builtInGroupCount="18"/>
  <definedNames>
    <definedName name="_xlnm._FilterDatabase" localSheetId="3" hidden="1">Продажи!$B$2:$G$300</definedName>
    <definedName name="Данные_продаж">Продажи!$B$2:$G$300</definedName>
    <definedName name="_xlnm.Criteria" localSheetId="3">Продажи!$N$6:$R$7</definedName>
    <definedName name="Поставка">Поставки!$D$2:$E$300</definedName>
    <definedName name="Продажа">Продажи!$D$2:$E$300</definedName>
    <definedName name="Справочник_товары">Товары!$B$2:$H$82:'Товары'!$G$8</definedName>
  </definedNames>
  <calcPr calcId="152511"/>
  <pivotCaches>
    <pivotCache cacheId="0" r:id="rId14"/>
  </pivotCaches>
</workbook>
</file>

<file path=xl/calcChain.xml><?xml version="1.0" encoding="utf-8"?>
<calcChain xmlns="http://schemas.openxmlformats.org/spreadsheetml/2006/main">
  <c r="H7" i="13" l="1"/>
  <c r="H8" i="13"/>
  <c r="H9" i="13"/>
  <c r="H10" i="13"/>
  <c r="H6" i="13"/>
  <c r="F5" i="12"/>
  <c r="N5" i="9" l="1"/>
  <c r="F8" i="12"/>
  <c r="F13" i="12"/>
  <c r="F12" i="12"/>
  <c r="F6" i="12"/>
  <c r="F11" i="12"/>
  <c r="F10" i="12"/>
  <c r="F15" i="12"/>
  <c r="F14" i="12"/>
  <c r="F7" i="12"/>
  <c r="F16" i="12"/>
  <c r="F9" i="12"/>
  <c r="N6" i="9" l="1"/>
  <c r="N7" i="9"/>
  <c r="N8" i="9"/>
  <c r="N9" i="9"/>
  <c r="N10" i="9"/>
  <c r="C13" i="8" l="1"/>
  <c r="C14" i="8"/>
  <c r="D14" i="8"/>
  <c r="D16" i="8"/>
  <c r="R8" i="9"/>
  <c r="Q8" i="9"/>
  <c r="H14" i="8" l="1"/>
  <c r="H15" i="8"/>
  <c r="H16" i="8"/>
  <c r="H18" i="8"/>
  <c r="E18" i="8" s="1"/>
  <c r="H13" i="8"/>
  <c r="G14" i="8"/>
  <c r="I14" i="8" s="1"/>
  <c r="G15" i="8"/>
  <c r="I15" i="8" s="1"/>
  <c r="G16" i="8"/>
  <c r="I16" i="8" s="1"/>
  <c r="G17" i="8"/>
  <c r="I17" i="8" s="1"/>
  <c r="G18" i="8"/>
  <c r="I18" i="8" s="1"/>
  <c r="G13" i="8"/>
  <c r="I13" i="8" s="1"/>
  <c r="D15" i="8"/>
  <c r="D17" i="8"/>
  <c r="D18" i="8"/>
  <c r="D13" i="8"/>
  <c r="C15" i="8"/>
  <c r="C16" i="8"/>
  <c r="C17" i="8"/>
  <c r="C18" i="8"/>
  <c r="F18" i="8" l="1"/>
  <c r="E15" i="8"/>
  <c r="F15" i="8" s="1"/>
  <c r="E13" i="8"/>
  <c r="F13" i="8" s="1"/>
  <c r="E14" i="8"/>
  <c r="F14" i="8" s="1"/>
  <c r="H17" i="8"/>
  <c r="E17" i="8" s="1"/>
  <c r="F17" i="8" s="1"/>
  <c r="E16" i="8"/>
  <c r="F16" i="8" s="1"/>
  <c r="B14" i="8"/>
  <c r="B15" i="8"/>
  <c r="B16" i="8"/>
  <c r="B17" i="8"/>
  <c r="B18" i="8"/>
  <c r="B13" i="8"/>
  <c r="H4" i="5" l="1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" i="5"/>
  <c r="F193" i="5"/>
  <c r="F287" i="5"/>
  <c r="F295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8" i="5"/>
  <c r="F289" i="5"/>
  <c r="F290" i="5"/>
  <c r="F291" i="5"/>
  <c r="F292" i="5"/>
  <c r="F293" i="5"/>
  <c r="F294" i="5"/>
  <c r="F296" i="5"/>
  <c r="F297" i="5"/>
  <c r="F298" i="5"/>
  <c r="F299" i="5"/>
  <c r="F300" i="5"/>
  <c r="F110" i="4"/>
  <c r="G110" i="4" s="1"/>
  <c r="F207" i="4"/>
  <c r="G207" i="4" s="1"/>
  <c r="F111" i="4"/>
  <c r="G111" i="4" s="1"/>
  <c r="F127" i="4"/>
  <c r="G127" i="4" s="1"/>
  <c r="F292" i="4"/>
  <c r="G292" i="4" s="1"/>
  <c r="F151" i="4"/>
  <c r="G151" i="4" s="1"/>
  <c r="F266" i="4"/>
  <c r="G266" i="4" s="1"/>
  <c r="F267" i="4"/>
  <c r="G267" i="4" s="1"/>
  <c r="F215" i="4"/>
  <c r="G215" i="4" s="1"/>
  <c r="F234" i="4"/>
  <c r="G234" i="4" s="1"/>
  <c r="F13" i="4"/>
  <c r="G13" i="4" s="1"/>
  <c r="F125" i="4"/>
  <c r="G125" i="4" s="1"/>
  <c r="F17" i="4"/>
  <c r="G17" i="4" s="1"/>
  <c r="F85" i="4"/>
  <c r="G85" i="4" s="1"/>
  <c r="F167" i="4"/>
  <c r="G167" i="4" s="1"/>
  <c r="F8" i="4"/>
  <c r="G8" i="4" s="1"/>
  <c r="F280" i="4"/>
  <c r="G280" i="4" s="1"/>
  <c r="F135" i="4"/>
  <c r="G135" i="4" s="1"/>
  <c r="F276" i="4"/>
  <c r="G276" i="4" s="1"/>
  <c r="F101" i="4"/>
  <c r="G101" i="4" s="1"/>
  <c r="F68" i="4"/>
  <c r="G68" i="4" s="1"/>
  <c r="F118" i="4"/>
  <c r="G118" i="4" s="1"/>
  <c r="F94" i="4"/>
  <c r="G94" i="4" s="1"/>
  <c r="F102" i="4"/>
  <c r="G102" i="4" s="1"/>
  <c r="F82" i="4"/>
  <c r="G82" i="4" s="1"/>
  <c r="F20" i="4"/>
  <c r="G20" i="4" s="1"/>
  <c r="F247" i="4"/>
  <c r="G247" i="4" s="1"/>
  <c r="F210" i="4"/>
  <c r="G210" i="4" s="1"/>
  <c r="F185" i="4"/>
  <c r="G185" i="4" s="1"/>
  <c r="F21" i="4"/>
  <c r="G21" i="4" s="1"/>
  <c r="F198" i="4"/>
  <c r="G198" i="4" s="1"/>
  <c r="F86" i="4"/>
  <c r="G86" i="4" s="1"/>
  <c r="F250" i="4"/>
  <c r="G250" i="4" s="1"/>
  <c r="F24" i="4"/>
  <c r="G24" i="4" s="1"/>
  <c r="F282" i="4"/>
  <c r="G282" i="4" s="1"/>
  <c r="F173" i="4"/>
  <c r="G173" i="4" s="1"/>
  <c r="F56" i="4"/>
  <c r="G56" i="4" s="1"/>
  <c r="F299" i="4"/>
  <c r="G299" i="4" s="1"/>
  <c r="F235" i="4"/>
  <c r="G235" i="4" s="1"/>
  <c r="F154" i="4"/>
  <c r="G154" i="4" s="1"/>
  <c r="F165" i="4"/>
  <c r="G165" i="4" s="1"/>
  <c r="F236" i="4"/>
  <c r="G236" i="4" s="1"/>
  <c r="F163" i="4"/>
  <c r="G163" i="4" s="1"/>
  <c r="F170" i="4"/>
  <c r="G170" i="4" s="1"/>
  <c r="F222" i="4"/>
  <c r="G222" i="4" s="1"/>
  <c r="F11" i="4"/>
  <c r="G11" i="4" s="1"/>
  <c r="F139" i="4"/>
  <c r="G139" i="4" s="1"/>
  <c r="F264" i="4"/>
  <c r="G264" i="4" s="1"/>
  <c r="F112" i="4"/>
  <c r="G112" i="4" s="1"/>
  <c r="F256" i="4"/>
  <c r="G256" i="4" s="1"/>
  <c r="F179" i="4"/>
  <c r="G179" i="4" s="1"/>
  <c r="F248" i="4"/>
  <c r="G248" i="4" s="1"/>
  <c r="F229" i="4"/>
  <c r="G229" i="4" s="1"/>
  <c r="F48" i="4"/>
  <c r="G48" i="4" s="1"/>
  <c r="F41" i="4"/>
  <c r="G41" i="4" s="1"/>
  <c r="F91" i="4"/>
  <c r="G91" i="4" s="1"/>
  <c r="F160" i="4"/>
  <c r="G160" i="4" s="1"/>
  <c r="F53" i="4"/>
  <c r="G53" i="4" s="1"/>
  <c r="F251" i="4"/>
  <c r="G251" i="4" s="1"/>
  <c r="F272" i="4"/>
  <c r="G272" i="4" s="1"/>
  <c r="F81" i="4"/>
  <c r="G81" i="4" s="1"/>
  <c r="F120" i="4"/>
  <c r="G120" i="4" s="1"/>
  <c r="F168" i="4"/>
  <c r="G168" i="4" s="1"/>
  <c r="F263" i="4"/>
  <c r="G263" i="4" s="1"/>
  <c r="F46" i="4"/>
  <c r="G46" i="4" s="1"/>
  <c r="F7" i="4"/>
  <c r="G7" i="4" s="1"/>
  <c r="F14" i="4"/>
  <c r="G14" i="4" s="1"/>
  <c r="F245" i="4"/>
  <c r="G245" i="4" s="1"/>
  <c r="F206" i="4"/>
  <c r="G206" i="4" s="1"/>
  <c r="F176" i="4"/>
  <c r="G176" i="4" s="1"/>
  <c r="F84" i="4"/>
  <c r="G84" i="4" s="1"/>
  <c r="F290" i="4"/>
  <c r="G290" i="4" s="1"/>
  <c r="F240" i="4"/>
  <c r="G240" i="4" s="1"/>
  <c r="F225" i="4"/>
  <c r="G225" i="4" s="1"/>
  <c r="F128" i="4"/>
  <c r="G128" i="4" s="1"/>
  <c r="F73" i="4"/>
  <c r="G73" i="4" s="1"/>
  <c r="F92" i="4"/>
  <c r="G92" i="4" s="1"/>
  <c r="F277" i="4"/>
  <c r="G277" i="4" s="1"/>
  <c r="F149" i="4"/>
  <c r="G149" i="4" s="1"/>
  <c r="F218" i="4"/>
  <c r="G218" i="4" s="1"/>
  <c r="F34" i="4"/>
  <c r="G34" i="4" s="1"/>
  <c r="F232" i="4"/>
  <c r="G232" i="4" s="1"/>
  <c r="F171" i="4"/>
  <c r="G171" i="4" s="1"/>
  <c r="F146" i="4"/>
  <c r="G146" i="4" s="1"/>
  <c r="F180" i="4"/>
  <c r="G180" i="4" s="1"/>
  <c r="F4" i="4"/>
  <c r="G4" i="4" s="1"/>
  <c r="F66" i="4"/>
  <c r="G66" i="4" s="1"/>
  <c r="F59" i="4"/>
  <c r="G59" i="4" s="1"/>
  <c r="F99" i="4"/>
  <c r="G99" i="4" s="1"/>
  <c r="F238" i="4"/>
  <c r="G238" i="4" s="1"/>
  <c r="F35" i="4"/>
  <c r="G35" i="4" s="1"/>
  <c r="F296" i="4"/>
  <c r="G296" i="4" s="1"/>
  <c r="F29" i="4"/>
  <c r="G29" i="4" s="1"/>
  <c r="F288" i="4"/>
  <c r="G288" i="4" s="1"/>
  <c r="F181" i="4"/>
  <c r="G181" i="4" s="1"/>
  <c r="F123" i="4"/>
  <c r="G123" i="4" s="1"/>
  <c r="F155" i="4"/>
  <c r="G155" i="4" s="1"/>
  <c r="F49" i="4"/>
  <c r="G49" i="4" s="1"/>
  <c r="F268" i="4"/>
  <c r="G268" i="4" s="1"/>
  <c r="F194" i="4"/>
  <c r="G194" i="4" s="1"/>
  <c r="F100" i="4"/>
  <c r="G100" i="4" s="1"/>
  <c r="F300" i="4"/>
  <c r="G300" i="4" s="1"/>
  <c r="F22" i="4"/>
  <c r="G22" i="4" s="1"/>
  <c r="F152" i="4"/>
  <c r="G152" i="4" s="1"/>
  <c r="F161" i="4"/>
  <c r="G161" i="4" s="1"/>
  <c r="F109" i="4"/>
  <c r="G109" i="4" s="1"/>
  <c r="F132" i="4"/>
  <c r="G132" i="4" s="1"/>
  <c r="F195" i="4"/>
  <c r="G195" i="4" s="1"/>
  <c r="F174" i="4"/>
  <c r="G174" i="4" s="1"/>
  <c r="F246" i="4"/>
  <c r="G246" i="4" s="1"/>
  <c r="F260" i="4"/>
  <c r="G260" i="4" s="1"/>
  <c r="F37" i="4"/>
  <c r="G37" i="4" s="1"/>
  <c r="F261" i="4"/>
  <c r="G261" i="4" s="1"/>
  <c r="F153" i="4"/>
  <c r="G153" i="4" s="1"/>
  <c r="F145" i="4"/>
  <c r="G145" i="4" s="1"/>
  <c r="F113" i="4"/>
  <c r="G113" i="4" s="1"/>
  <c r="F197" i="4"/>
  <c r="G197" i="4" s="1"/>
  <c r="F38" i="4"/>
  <c r="G38" i="4" s="1"/>
  <c r="F133" i="4"/>
  <c r="G133" i="4" s="1"/>
  <c r="F255" i="4"/>
  <c r="G255" i="4" s="1"/>
  <c r="F106" i="4"/>
  <c r="G106" i="4" s="1"/>
  <c r="F262" i="4"/>
  <c r="G262" i="4" s="1"/>
  <c r="F158" i="4"/>
  <c r="G158" i="4" s="1"/>
  <c r="F186" i="4"/>
  <c r="G186" i="4" s="1"/>
  <c r="F227" i="4"/>
  <c r="G227" i="4" s="1"/>
  <c r="F107" i="4"/>
  <c r="G107" i="4" s="1"/>
  <c r="F15" i="4"/>
  <c r="G15" i="4" s="1"/>
  <c r="F78" i="4"/>
  <c r="G78" i="4" s="1"/>
  <c r="F219" i="4"/>
  <c r="G219" i="4" s="1"/>
  <c r="F104" i="4"/>
  <c r="G104" i="4" s="1"/>
  <c r="F211" i="4"/>
  <c r="G211" i="4" s="1"/>
  <c r="F241" i="4"/>
  <c r="G241" i="4" s="1"/>
  <c r="F188" i="4"/>
  <c r="G188" i="4" s="1"/>
  <c r="F76" i="4"/>
  <c r="G76" i="4" s="1"/>
  <c r="F147" i="4"/>
  <c r="G147" i="4" s="1"/>
  <c r="F23" i="4"/>
  <c r="G23" i="4" s="1"/>
  <c r="F122" i="4"/>
  <c r="G122" i="4" s="1"/>
  <c r="F60" i="4"/>
  <c r="G60" i="4" s="1"/>
  <c r="F226" i="4"/>
  <c r="G226" i="4" s="1"/>
  <c r="F9" i="4"/>
  <c r="G9" i="4" s="1"/>
  <c r="F156" i="4"/>
  <c r="G156" i="4" s="1"/>
  <c r="F126" i="4"/>
  <c r="G126" i="4" s="1"/>
  <c r="F79" i="4"/>
  <c r="G79" i="4" s="1"/>
  <c r="F177" i="4"/>
  <c r="G177" i="4" s="1"/>
  <c r="F108" i="4"/>
  <c r="G108" i="4" s="1"/>
  <c r="F30" i="4"/>
  <c r="G30" i="4" s="1"/>
  <c r="F137" i="4"/>
  <c r="G137" i="4" s="1"/>
  <c r="F87" i="4"/>
  <c r="G87" i="4" s="1"/>
  <c r="F150" i="4"/>
  <c r="G150" i="4" s="1"/>
  <c r="F286" i="4"/>
  <c r="G286" i="4" s="1"/>
  <c r="F36" i="4"/>
  <c r="G36" i="4" s="1"/>
  <c r="F164" i="4"/>
  <c r="G164" i="4" s="1"/>
  <c r="F278" i="4"/>
  <c r="G278" i="4" s="1"/>
  <c r="F192" i="4"/>
  <c r="G192" i="4" s="1"/>
  <c r="F32" i="4"/>
  <c r="G32" i="4" s="1"/>
  <c r="F115" i="4"/>
  <c r="G115" i="4" s="1"/>
  <c r="F193" i="4"/>
  <c r="G193" i="4" s="1"/>
  <c r="F283" i="4"/>
  <c r="G283" i="4" s="1"/>
  <c r="F64" i="4"/>
  <c r="G64" i="4" s="1"/>
  <c r="F237" i="4"/>
  <c r="G237" i="4" s="1"/>
  <c r="F25" i="4"/>
  <c r="G25" i="4" s="1"/>
  <c r="F231" i="4"/>
  <c r="G231" i="4" s="1"/>
  <c r="F279" i="4"/>
  <c r="G279" i="4" s="1"/>
  <c r="F134" i="4"/>
  <c r="G134" i="4" s="1"/>
  <c r="F97" i="4"/>
  <c r="G97" i="4" s="1"/>
  <c r="F187" i="4"/>
  <c r="G187" i="4" s="1"/>
  <c r="F142" i="4"/>
  <c r="G142" i="4" s="1"/>
  <c r="F202" i="4"/>
  <c r="G202" i="4" s="1"/>
  <c r="F3" i="4"/>
  <c r="G3" i="4" s="1"/>
  <c r="F89" i="4"/>
  <c r="G89" i="4" s="1"/>
  <c r="F182" i="4"/>
  <c r="G182" i="4" s="1"/>
  <c r="F223" i="4"/>
  <c r="G223" i="4" s="1"/>
  <c r="F93" i="4"/>
  <c r="G93" i="4" s="1"/>
  <c r="F114" i="4"/>
  <c r="G114" i="4" s="1"/>
  <c r="F52" i="4"/>
  <c r="G52" i="4" s="1"/>
  <c r="F169" i="4"/>
  <c r="G169" i="4" s="1"/>
  <c r="F216" i="4"/>
  <c r="G216" i="4" s="1"/>
  <c r="F69" i="4"/>
  <c r="G69" i="4" s="1"/>
  <c r="F50" i="4"/>
  <c r="G50" i="4" s="1"/>
  <c r="F90" i="4"/>
  <c r="G90" i="4" s="1"/>
  <c r="F213" i="4"/>
  <c r="G213" i="4" s="1"/>
  <c r="F166" i="4"/>
  <c r="G166" i="4" s="1"/>
  <c r="F28" i="4"/>
  <c r="G28" i="4" s="1"/>
  <c r="F70" i="4"/>
  <c r="G70" i="4" s="1"/>
  <c r="F242" i="4"/>
  <c r="G242" i="4" s="1"/>
  <c r="F44" i="4"/>
  <c r="G44" i="4" s="1"/>
  <c r="F61" i="4"/>
  <c r="G61" i="4" s="1"/>
  <c r="F289" i="4"/>
  <c r="G289" i="4" s="1"/>
  <c r="F273" i="4"/>
  <c r="G273" i="4" s="1"/>
  <c r="F252" i="4"/>
  <c r="G252" i="4" s="1"/>
  <c r="F71" i="4"/>
  <c r="G71" i="4" s="1"/>
  <c r="F121" i="4"/>
  <c r="G121" i="4" s="1"/>
  <c r="F140" i="4"/>
  <c r="G140" i="4" s="1"/>
  <c r="F258" i="4"/>
  <c r="G258" i="4" s="1"/>
  <c r="F265" i="4"/>
  <c r="G265" i="4" s="1"/>
  <c r="F274" i="4"/>
  <c r="G274" i="4" s="1"/>
  <c r="F77" i="4"/>
  <c r="G77" i="4" s="1"/>
  <c r="F212" i="4"/>
  <c r="G212" i="4" s="1"/>
  <c r="F249" i="4"/>
  <c r="G249" i="4" s="1"/>
  <c r="F39" i="4"/>
  <c r="G39" i="4" s="1"/>
  <c r="F26" i="4"/>
  <c r="G26" i="4" s="1"/>
  <c r="F233" i="4"/>
  <c r="G233" i="4" s="1"/>
  <c r="F18" i="4"/>
  <c r="G18" i="4" s="1"/>
  <c r="F143" i="4"/>
  <c r="G143" i="4" s="1"/>
  <c r="F116" i="4"/>
  <c r="G116" i="4" s="1"/>
  <c r="F199" i="4"/>
  <c r="G199" i="4" s="1"/>
  <c r="F74" i="4"/>
  <c r="G74" i="4" s="1"/>
  <c r="F5" i="4"/>
  <c r="G5" i="4" s="1"/>
  <c r="F63" i="4"/>
  <c r="G63" i="4" s="1"/>
  <c r="F284" i="4"/>
  <c r="G284" i="4" s="1"/>
  <c r="F19" i="4"/>
  <c r="G19" i="4" s="1"/>
  <c r="F275" i="4"/>
  <c r="G275" i="4" s="1"/>
  <c r="F214" i="4"/>
  <c r="G214" i="4" s="1"/>
  <c r="F287" i="4"/>
  <c r="G287" i="4" s="1"/>
  <c r="F191" i="4"/>
  <c r="G191" i="4" s="1"/>
  <c r="F172" i="4"/>
  <c r="G172" i="4" s="1"/>
  <c r="F281" i="4"/>
  <c r="G281" i="4" s="1"/>
  <c r="F239" i="4"/>
  <c r="G239" i="4" s="1"/>
  <c r="F62" i="4"/>
  <c r="G62" i="4" s="1"/>
  <c r="F220" i="4"/>
  <c r="G220" i="4" s="1"/>
  <c r="F42" i="4"/>
  <c r="G42" i="4" s="1"/>
  <c r="F269" i="4"/>
  <c r="G269" i="4" s="1"/>
  <c r="F228" i="4"/>
  <c r="G228" i="4" s="1"/>
  <c r="F243" i="4"/>
  <c r="G243" i="4" s="1"/>
  <c r="F259" i="4"/>
  <c r="G259" i="4" s="1"/>
  <c r="F201" i="4"/>
  <c r="G201" i="4" s="1"/>
  <c r="F270" i="4"/>
  <c r="G270" i="4" s="1"/>
  <c r="F189" i="4"/>
  <c r="G189" i="4" s="1"/>
  <c r="F253" i="4"/>
  <c r="G253" i="4" s="1"/>
  <c r="F230" i="4"/>
  <c r="G230" i="4" s="1"/>
  <c r="F159" i="4"/>
  <c r="G159" i="4" s="1"/>
  <c r="F129" i="4"/>
  <c r="G129" i="4" s="1"/>
  <c r="F54" i="4"/>
  <c r="G54" i="4" s="1"/>
  <c r="F298" i="4"/>
  <c r="G298" i="4" s="1"/>
  <c r="F75" i="4"/>
  <c r="G75" i="4" s="1"/>
  <c r="F131" i="4"/>
  <c r="G131" i="4" s="1"/>
  <c r="F95" i="4"/>
  <c r="G95" i="4" s="1"/>
  <c r="F209" i="4"/>
  <c r="G209" i="4" s="1"/>
  <c r="F124" i="4"/>
  <c r="G124" i="4" s="1"/>
  <c r="F203" i="4"/>
  <c r="G203" i="4" s="1"/>
  <c r="F83" i="4"/>
  <c r="G83" i="4" s="1"/>
  <c r="F293" i="4"/>
  <c r="G293" i="4" s="1"/>
  <c r="F221" i="4"/>
  <c r="G221" i="4" s="1"/>
  <c r="F254" i="4"/>
  <c r="G254" i="4" s="1"/>
  <c r="F295" i="4"/>
  <c r="G295" i="4" s="1"/>
  <c r="F204" i="4"/>
  <c r="G204" i="4" s="1"/>
  <c r="F157" i="4"/>
  <c r="G157" i="4" s="1"/>
  <c r="F130" i="4"/>
  <c r="G130" i="4" s="1"/>
  <c r="F271" i="4"/>
  <c r="G271" i="4" s="1"/>
  <c r="F72" i="4"/>
  <c r="G72" i="4" s="1"/>
  <c r="F103" i="4"/>
  <c r="G103" i="4" s="1"/>
  <c r="F31" i="4"/>
  <c r="G31" i="4" s="1"/>
  <c r="F196" i="4"/>
  <c r="G196" i="4" s="1"/>
  <c r="F117" i="4"/>
  <c r="G117" i="4" s="1"/>
  <c r="F144" i="4"/>
  <c r="G144" i="4" s="1"/>
  <c r="F67" i="4"/>
  <c r="G67" i="4" s="1"/>
  <c r="F190" i="4"/>
  <c r="G190" i="4" s="1"/>
  <c r="F98" i="4"/>
  <c r="G98" i="4" s="1"/>
  <c r="F291" i="4"/>
  <c r="G291" i="4" s="1"/>
  <c r="F297" i="4"/>
  <c r="G297" i="4" s="1"/>
  <c r="F80" i="4"/>
  <c r="G80" i="4" s="1"/>
  <c r="F178" i="4"/>
  <c r="G178" i="4" s="1"/>
  <c r="F138" i="4"/>
  <c r="G138" i="4" s="1"/>
  <c r="F47" i="4"/>
  <c r="G47" i="4" s="1"/>
  <c r="F88" i="4"/>
  <c r="G88" i="4" s="1"/>
  <c r="F40" i="4"/>
  <c r="G40" i="4" s="1"/>
  <c r="F200" i="4"/>
  <c r="G200" i="4" s="1"/>
  <c r="F58" i="4"/>
  <c r="G58" i="4" s="1"/>
  <c r="F45" i="4"/>
  <c r="G45" i="4" s="1"/>
  <c r="F183" i="4"/>
  <c r="G183" i="4" s="1"/>
  <c r="F105" i="4"/>
  <c r="G105" i="4" s="1"/>
  <c r="F141" i="4"/>
  <c r="G141" i="4" s="1"/>
  <c r="F57" i="4"/>
  <c r="G57" i="4" s="1"/>
  <c r="F6" i="4"/>
  <c r="G6" i="4" s="1"/>
  <c r="F294" i="4"/>
  <c r="G294" i="4" s="1"/>
  <c r="F184" i="4"/>
  <c r="G184" i="4" s="1"/>
  <c r="F119" i="4"/>
  <c r="G119" i="4" s="1"/>
  <c r="F33" i="4"/>
  <c r="G33" i="4" s="1"/>
  <c r="F51" i="4"/>
  <c r="G51" i="4" s="1"/>
  <c r="F162" i="4"/>
  <c r="G162" i="4" s="1"/>
  <c r="F224" i="4"/>
  <c r="G224" i="4" s="1"/>
  <c r="F55" i="4"/>
  <c r="G55" i="4" s="1"/>
  <c r="F136" i="4"/>
  <c r="G136" i="4" s="1"/>
  <c r="F244" i="4"/>
  <c r="G244" i="4" s="1"/>
  <c r="F217" i="4"/>
  <c r="G217" i="4" s="1"/>
  <c r="F43" i="4"/>
  <c r="G43" i="4" s="1"/>
  <c r="F27" i="4"/>
  <c r="G27" i="4" s="1"/>
  <c r="F10" i="4"/>
  <c r="G10" i="4" s="1"/>
  <c r="F65" i="4"/>
  <c r="G65" i="4" s="1"/>
  <c r="F285" i="4"/>
  <c r="G285" i="4" s="1"/>
  <c r="F16" i="4"/>
  <c r="G16" i="4" s="1"/>
  <c r="F205" i="4"/>
  <c r="G205" i="4" s="1"/>
  <c r="F12" i="4"/>
  <c r="G12" i="4" s="1"/>
  <c r="F208" i="4"/>
  <c r="G208" i="4" s="1"/>
  <c r="F175" i="4"/>
  <c r="G175" i="4" s="1"/>
  <c r="F257" i="4"/>
  <c r="G257" i="4" s="1"/>
  <c r="F148" i="4"/>
  <c r="G148" i="4" s="1"/>
  <c r="F96" i="4"/>
  <c r="G96" i="4" s="1"/>
  <c r="D96" i="4"/>
  <c r="D110" i="4"/>
  <c r="D207" i="4"/>
  <c r="D111" i="4"/>
  <c r="D127" i="4"/>
  <c r="D292" i="4"/>
  <c r="D151" i="4"/>
  <c r="D266" i="4"/>
  <c r="D267" i="4"/>
  <c r="D215" i="4"/>
  <c r="D234" i="4"/>
  <c r="D13" i="4"/>
  <c r="D125" i="4"/>
  <c r="D17" i="4"/>
  <c r="D85" i="4"/>
  <c r="D167" i="4"/>
  <c r="D8" i="4"/>
  <c r="D280" i="4"/>
  <c r="D135" i="4"/>
  <c r="D276" i="4"/>
  <c r="D101" i="4"/>
  <c r="D68" i="4"/>
  <c r="D118" i="4"/>
  <c r="D94" i="4"/>
  <c r="D102" i="4"/>
  <c r="D82" i="4"/>
  <c r="D20" i="4"/>
  <c r="D247" i="4"/>
  <c r="D210" i="4"/>
  <c r="D185" i="4"/>
  <c r="D21" i="4"/>
  <c r="D198" i="4"/>
  <c r="D86" i="4"/>
  <c r="D250" i="4"/>
  <c r="D24" i="4"/>
  <c r="D282" i="4"/>
  <c r="D173" i="4"/>
  <c r="D56" i="4"/>
  <c r="D299" i="4"/>
  <c r="D235" i="4"/>
  <c r="D154" i="4"/>
  <c r="D165" i="4"/>
  <c r="D236" i="4"/>
  <c r="D163" i="4"/>
  <c r="D170" i="4"/>
  <c r="D222" i="4"/>
  <c r="D11" i="4"/>
  <c r="D139" i="4"/>
  <c r="D264" i="4"/>
  <c r="D112" i="4"/>
  <c r="D256" i="4"/>
  <c r="D179" i="4"/>
  <c r="D248" i="4"/>
  <c r="D229" i="4"/>
  <c r="D48" i="4"/>
  <c r="D41" i="4"/>
  <c r="D91" i="4"/>
  <c r="D160" i="4"/>
  <c r="D53" i="4"/>
  <c r="D251" i="4"/>
  <c r="D272" i="4"/>
  <c r="D81" i="4"/>
  <c r="D120" i="4"/>
  <c r="D168" i="4"/>
  <c r="D263" i="4"/>
  <c r="D46" i="4"/>
  <c r="D7" i="4"/>
  <c r="D14" i="4"/>
  <c r="D245" i="4"/>
  <c r="D206" i="4"/>
  <c r="D176" i="4"/>
  <c r="D84" i="4"/>
  <c r="D290" i="4"/>
  <c r="D240" i="4"/>
  <c r="D225" i="4"/>
  <c r="D128" i="4"/>
  <c r="D73" i="4"/>
  <c r="D92" i="4"/>
  <c r="D277" i="4"/>
  <c r="D149" i="4"/>
  <c r="D218" i="4"/>
  <c r="D34" i="4"/>
  <c r="D232" i="4"/>
  <c r="D171" i="4"/>
  <c r="D146" i="4"/>
  <c r="D180" i="4"/>
  <c r="D4" i="4"/>
  <c r="D66" i="4"/>
  <c r="D59" i="4"/>
  <c r="D99" i="4"/>
  <c r="D238" i="4"/>
  <c r="D35" i="4"/>
  <c r="D296" i="4"/>
  <c r="D29" i="4"/>
  <c r="D288" i="4"/>
  <c r="D181" i="4"/>
  <c r="D123" i="4"/>
  <c r="D155" i="4"/>
  <c r="D49" i="4"/>
  <c r="D268" i="4"/>
  <c r="D194" i="4"/>
  <c r="D100" i="4"/>
  <c r="D300" i="4"/>
  <c r="D22" i="4"/>
  <c r="D152" i="4"/>
  <c r="D161" i="4"/>
  <c r="D109" i="4"/>
  <c r="D132" i="4"/>
  <c r="D195" i="4"/>
  <c r="D174" i="4"/>
  <c r="D246" i="4"/>
  <c r="D260" i="4"/>
  <c r="D37" i="4"/>
  <c r="D261" i="4"/>
  <c r="D153" i="4"/>
  <c r="D145" i="4"/>
  <c r="D113" i="4"/>
  <c r="D197" i="4"/>
  <c r="D38" i="4"/>
  <c r="D133" i="4"/>
  <c r="D255" i="4"/>
  <c r="D106" i="4"/>
  <c r="D262" i="4"/>
  <c r="D158" i="4"/>
  <c r="D186" i="4"/>
  <c r="D227" i="4"/>
  <c r="D107" i="4"/>
  <c r="D15" i="4"/>
  <c r="D78" i="4"/>
  <c r="D219" i="4"/>
  <c r="D104" i="4"/>
  <c r="D211" i="4"/>
  <c r="D241" i="4"/>
  <c r="D188" i="4"/>
  <c r="D76" i="4"/>
  <c r="D147" i="4"/>
  <c r="D23" i="4"/>
  <c r="D122" i="4"/>
  <c r="D60" i="4"/>
  <c r="D226" i="4"/>
  <c r="D9" i="4"/>
  <c r="D156" i="4"/>
  <c r="D126" i="4"/>
  <c r="D79" i="4"/>
  <c r="D177" i="4"/>
  <c r="D108" i="4"/>
  <c r="D30" i="4"/>
  <c r="D137" i="4"/>
  <c r="D87" i="4"/>
  <c r="D150" i="4"/>
  <c r="D286" i="4"/>
  <c r="D36" i="4"/>
  <c r="D164" i="4"/>
  <c r="D278" i="4"/>
  <c r="D192" i="4"/>
  <c r="D32" i="4"/>
  <c r="D115" i="4"/>
  <c r="D193" i="4"/>
  <c r="D283" i="4"/>
  <c r="D64" i="4"/>
  <c r="D237" i="4"/>
  <c r="D25" i="4"/>
  <c r="D231" i="4"/>
  <c r="D279" i="4"/>
  <c r="D134" i="4"/>
  <c r="D97" i="4"/>
  <c r="D187" i="4"/>
  <c r="D142" i="4"/>
  <c r="D202" i="4"/>
  <c r="D3" i="4"/>
  <c r="D89" i="4"/>
  <c r="D182" i="4"/>
  <c r="D223" i="4"/>
  <c r="D93" i="4"/>
  <c r="D114" i="4"/>
  <c r="D52" i="4"/>
  <c r="D169" i="4"/>
  <c r="D216" i="4"/>
  <c r="D69" i="4"/>
  <c r="D50" i="4"/>
  <c r="D90" i="4"/>
  <c r="D213" i="4"/>
  <c r="D166" i="4"/>
  <c r="D28" i="4"/>
  <c r="D70" i="4"/>
  <c r="D242" i="4"/>
  <c r="D44" i="4"/>
  <c r="D61" i="4"/>
  <c r="D289" i="4"/>
  <c r="D273" i="4"/>
  <c r="D252" i="4"/>
  <c r="D71" i="4"/>
  <c r="D121" i="4"/>
  <c r="D140" i="4"/>
  <c r="D258" i="4"/>
  <c r="D265" i="4"/>
  <c r="D274" i="4"/>
  <c r="D77" i="4"/>
  <c r="D212" i="4"/>
  <c r="D249" i="4"/>
  <c r="D39" i="4"/>
  <c r="D26" i="4"/>
  <c r="D233" i="4"/>
  <c r="D18" i="4"/>
  <c r="D143" i="4"/>
  <c r="D116" i="4"/>
  <c r="D199" i="4"/>
  <c r="D74" i="4"/>
  <c r="D5" i="4"/>
  <c r="D63" i="4"/>
  <c r="D284" i="4"/>
  <c r="D19" i="4"/>
  <c r="D275" i="4"/>
  <c r="D214" i="4"/>
  <c r="D287" i="4"/>
  <c r="D191" i="4"/>
  <c r="D172" i="4"/>
  <c r="D281" i="4"/>
  <c r="D239" i="4"/>
  <c r="D62" i="4"/>
  <c r="D220" i="4"/>
  <c r="D42" i="4"/>
  <c r="D269" i="4"/>
  <c r="D228" i="4"/>
  <c r="D243" i="4"/>
  <c r="D259" i="4"/>
  <c r="D201" i="4"/>
  <c r="D270" i="4"/>
  <c r="D189" i="4"/>
  <c r="D253" i="4"/>
  <c r="D230" i="4"/>
  <c r="D159" i="4"/>
  <c r="D129" i="4"/>
  <c r="D54" i="4"/>
  <c r="D298" i="4"/>
  <c r="D75" i="4"/>
  <c r="D131" i="4"/>
  <c r="D95" i="4"/>
  <c r="D209" i="4"/>
  <c r="D124" i="4"/>
  <c r="D203" i="4"/>
  <c r="D83" i="4"/>
  <c r="D293" i="4"/>
  <c r="D221" i="4"/>
  <c r="D254" i="4"/>
  <c r="D295" i="4"/>
  <c r="D204" i="4"/>
  <c r="D157" i="4"/>
  <c r="D130" i="4"/>
  <c r="D271" i="4"/>
  <c r="D72" i="4"/>
  <c r="D103" i="4"/>
  <c r="D31" i="4"/>
  <c r="D196" i="4"/>
  <c r="D117" i="4"/>
  <c r="D144" i="4"/>
  <c r="D67" i="4"/>
  <c r="D190" i="4"/>
  <c r="D98" i="4"/>
  <c r="D291" i="4"/>
  <c r="D297" i="4"/>
  <c r="D80" i="4"/>
  <c r="D178" i="4"/>
  <c r="D138" i="4"/>
  <c r="D47" i="4"/>
  <c r="D88" i="4"/>
  <c r="D40" i="4"/>
  <c r="D200" i="4"/>
  <c r="D58" i="4"/>
  <c r="D45" i="4"/>
  <c r="D183" i="4"/>
  <c r="D105" i="4"/>
  <c r="D141" i="4"/>
  <c r="D57" i="4"/>
  <c r="D6" i="4"/>
  <c r="D294" i="4"/>
  <c r="D184" i="4"/>
  <c r="D119" i="4"/>
  <c r="D33" i="4"/>
  <c r="D51" i="4"/>
  <c r="D162" i="4"/>
  <c r="D224" i="4"/>
  <c r="D55" i="4"/>
  <c r="D136" i="4"/>
  <c r="D244" i="4"/>
  <c r="D217" i="4"/>
  <c r="D43" i="4"/>
  <c r="D27" i="4"/>
  <c r="D10" i="4"/>
  <c r="D65" i="4"/>
  <c r="D285" i="4"/>
  <c r="D16" i="4"/>
  <c r="D205" i="4"/>
  <c r="D12" i="4"/>
  <c r="D208" i="4"/>
  <c r="D175" i="4"/>
  <c r="D257" i="4"/>
  <c r="D148" i="4"/>
  <c r="D11" i="9" l="1"/>
</calcChain>
</file>

<file path=xl/sharedStrings.xml><?xml version="1.0" encoding="utf-8"?>
<sst xmlns="http://schemas.openxmlformats.org/spreadsheetml/2006/main" count="443" uniqueCount="87">
  <si>
    <t>¢</t>
  </si>
  <si>
    <t>Код товара</t>
  </si>
  <si>
    <t>Наименование</t>
  </si>
  <si>
    <t>Сорт</t>
  </si>
  <si>
    <t>Оптовая цена</t>
  </si>
  <si>
    <t>Наценка</t>
  </si>
  <si>
    <t>Код поставщика</t>
  </si>
  <si>
    <t>Лапти липовые</t>
  </si>
  <si>
    <t>Лапти дубовые</t>
  </si>
  <si>
    <t>Галоши</t>
  </si>
  <si>
    <t>Валенки</t>
  </si>
  <si>
    <t>Кепка a ’la Lenin</t>
  </si>
  <si>
    <t>Кепка a 'la Luzkov</t>
  </si>
  <si>
    <t>Дата продажи</t>
  </si>
  <si>
    <t>Количество</t>
  </si>
  <si>
    <t>Цена</t>
  </si>
  <si>
    <t>Сумма</t>
  </si>
  <si>
    <t>Поставщики</t>
  </si>
  <si>
    <r>
      <rPr>
        <b/>
        <sz val="12"/>
        <color theme="1"/>
        <rFont val="Calibri"/>
        <family val="2"/>
        <charset val="204"/>
        <scheme val="minor"/>
      </rPr>
      <t>Сортировать по.</t>
    </r>
    <r>
      <rPr>
        <sz val="11"/>
        <color theme="1"/>
        <rFont val="Calibri"/>
        <family val="2"/>
        <scheme val="minor"/>
      </rPr>
      <t>.</t>
    </r>
  </si>
  <si>
    <t>Критерии поиска</t>
  </si>
  <si>
    <t>Период начисления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</si>
  <si>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</si>
  <si>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</si>
  <si>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</si>
  <si>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</si>
  <si>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</si>
  <si>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</si>
  <si>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</si>
  <si>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</si>
  <si>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</si>
  <si>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</si>
  <si>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</si>
  <si>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</si>
  <si>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Таб.№</t>
  </si>
  <si>
    <t>Начислено</t>
  </si>
  <si>
    <t>Удержано</t>
  </si>
  <si>
    <t>К выдаче</t>
  </si>
  <si>
    <t>ФИО</t>
  </si>
  <si>
    <t>Дети</t>
  </si>
  <si>
    <t>На детей</t>
  </si>
  <si>
    <t>Фамилия</t>
  </si>
  <si>
    <t>Имя</t>
  </si>
  <si>
    <t>Оклад</t>
  </si>
  <si>
    <t>Александров</t>
  </si>
  <si>
    <t>Алексей</t>
  </si>
  <si>
    <t>Валерий</t>
  </si>
  <si>
    <t>Иван</t>
  </si>
  <si>
    <t>Олег</t>
  </si>
  <si>
    <t>Петр</t>
  </si>
  <si>
    <t>Петров</t>
  </si>
  <si>
    <t>Смирнов</t>
  </si>
  <si>
    <t>Меньшов</t>
  </si>
  <si>
    <t>Баранов</t>
  </si>
  <si>
    <t>Коротков</t>
  </si>
  <si>
    <t>Отчетный период</t>
  </si>
  <si>
    <t>Начало периода</t>
  </si>
  <si>
    <t>Конец периода</t>
  </si>
  <si>
    <t>Общая сумма выручки</t>
  </si>
  <si>
    <t>Средняя выручка</t>
  </si>
  <si>
    <t>Максимальная выручка</t>
  </si>
  <si>
    <t>Минимальная выручка</t>
  </si>
  <si>
    <t xml:space="preserve">                            </t>
  </si>
  <si>
    <t>Остаток</t>
  </si>
  <si>
    <t>Названия строк</t>
  </si>
  <si>
    <t>Общий итог</t>
  </si>
  <si>
    <t>Сумма по полю Количество</t>
  </si>
  <si>
    <t>Фото</t>
  </si>
  <si>
    <t>Лапти липовые.jpg</t>
  </si>
  <si>
    <t>Лапти дубовые.jpg</t>
  </si>
  <si>
    <t>Галоши.jpg</t>
  </si>
  <si>
    <t>Валенки.jpg</t>
  </si>
  <si>
    <t>Кепка.jpg</t>
  </si>
  <si>
    <t>Кепка2.jpg</t>
  </si>
  <si>
    <t>Номер п/п</t>
  </si>
  <si>
    <t>Дата приема</t>
  </si>
  <si>
    <t>№ документа</t>
  </si>
  <si>
    <t>Контрольный срок</t>
  </si>
  <si>
    <t>Дата решения</t>
  </si>
  <si>
    <t>Статус</t>
  </si>
  <si>
    <t>123/4-12</t>
  </si>
  <si>
    <t>123/3-11</t>
  </si>
  <si>
    <t>123/4-11</t>
  </si>
  <si>
    <t>123/4-13</t>
  </si>
  <si>
    <t>ЗАО «Баба-яга»</t>
  </si>
  <si>
    <t>ЗАО «От Петровича»</t>
  </si>
  <si>
    <t>ОАО «High Hat»</t>
  </si>
  <si>
    <t>ООО «Липовый рай»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</si>
</sst>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1"/>
      <color rgb="FF9C6500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CAF2D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7" fillId="8" borderId="0" applyNumberFormat="0" applyBorder="0" applyAlignment="0" applyProtection="0"/>
  </cellStyleXfs>
  <cellXfs count="82">
    <xf numFmtId="0" fontId="0" fillId="0" borderId="0" xfId="0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4" fontId="0" fillId="0" borderId="0" xfId="0" applyNumberFormat="1"/>
    <xf numFmtId="0" fontId="4" fillId="0" borderId="0" xfId="0" applyFont="1"/>
    <xf numFmtId="0" fontId="3" fillId="2" borderId="5" xfId="1" applyBorder="1" applyAlignment="1">
      <alignment horizontal="center"/>
    </xf>
    <xf numFmtId="0" fontId="3" fillId="2" borderId="6" xfId="1" applyBorder="1" applyAlignment="1">
      <alignment horizontal="center"/>
    </xf>
    <xf numFmtId="0" fontId="3" fillId="2" borderId="7" xfId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3" fillId="2" borderId="8" xfId="1" applyBorder="1" applyAlignment="1">
      <alignment horizontal="center"/>
    </xf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12" xfId="0" applyFont="1" applyBorder="1"/>
    <xf numFmtId="0" fontId="2" fillId="4" borderId="2" xfId="2" applyBorder="1" applyAlignment="1">
      <alignment horizontal="center" vertical="center"/>
    </xf>
    <xf numFmtId="0" fontId="2" fillId="4" borderId="3" xfId="2" applyBorder="1" applyAlignment="1">
      <alignment horizontal="center" vertical="center"/>
    </xf>
    <xf numFmtId="0" fontId="0" fillId="0" borderId="1" xfId="0" applyBorder="1"/>
    <xf numFmtId="0" fontId="2" fillId="4" borderId="17" xfId="2" applyBorder="1" applyAlignment="1">
      <alignment horizontal="center" vertical="center"/>
    </xf>
    <xf numFmtId="0" fontId="3" fillId="2" borderId="1" xfId="1" applyBorder="1" applyAlignment="1">
      <alignment horizontal="center" vertical="center"/>
    </xf>
    <xf numFmtId="0" fontId="1" fillId="5" borderId="11" xfId="3" applyBorder="1"/>
    <xf numFmtId="0" fontId="1" fillId="5" borderId="13" xfId="3" applyBorder="1"/>
    <xf numFmtId="0" fontId="1" fillId="5" borderId="16" xfId="3" applyBorder="1"/>
    <xf numFmtId="0" fontId="1" fillId="5" borderId="9" xfId="3" applyBorder="1"/>
    <xf numFmtId="0" fontId="1" fillId="5" borderId="12" xfId="3" applyBorder="1"/>
    <xf numFmtId="0" fontId="1" fillId="5" borderId="14" xfId="3" applyBorder="1"/>
    <xf numFmtId="0" fontId="1" fillId="5" borderId="10" xfId="3" applyBorder="1"/>
    <xf numFmtId="0" fontId="1" fillId="5" borderId="0" xfId="3" applyBorder="1"/>
    <xf numFmtId="0" fontId="1" fillId="5" borderId="15" xfId="3" applyBorder="1"/>
    <xf numFmtId="0" fontId="0" fillId="0" borderId="4" xfId="0" applyBorder="1"/>
    <xf numFmtId="0" fontId="1" fillId="6" borderId="18" xfId="4" applyBorder="1"/>
    <xf numFmtId="0" fontId="1" fillId="6" borderId="2" xfId="4" applyBorder="1"/>
    <xf numFmtId="0" fontId="1" fillId="6" borderId="19" xfId="4" applyBorder="1"/>
    <xf numFmtId="0" fontId="1" fillId="6" borderId="3" xfId="4" applyBorder="1"/>
    <xf numFmtId="0" fontId="4" fillId="0" borderId="0" xfId="0" applyFont="1" applyBorder="1" applyAlignment="1">
      <alignment vertical="center"/>
    </xf>
    <xf numFmtId="0" fontId="1" fillId="7" borderId="9" xfId="5" applyBorder="1" applyAlignment="1">
      <alignment vertical="center"/>
    </xf>
    <xf numFmtId="0" fontId="1" fillId="7" borderId="10" xfId="5" applyBorder="1" applyAlignment="1">
      <alignment vertical="center"/>
    </xf>
    <xf numFmtId="0" fontId="1" fillId="7" borderId="11" xfId="5" applyBorder="1" applyAlignment="1">
      <alignment vertical="center"/>
    </xf>
    <xf numFmtId="0" fontId="1" fillId="7" borderId="12" xfId="5" applyBorder="1" applyAlignment="1">
      <alignment vertical="center"/>
    </xf>
    <xf numFmtId="0" fontId="1" fillId="7" borderId="13" xfId="5" applyBorder="1" applyAlignment="1">
      <alignment vertical="center"/>
    </xf>
    <xf numFmtId="0" fontId="1" fillId="7" borderId="0" xfId="5" applyBorder="1" applyAlignment="1">
      <alignment vertical="center"/>
    </xf>
    <xf numFmtId="0" fontId="1" fillId="7" borderId="14" xfId="5" applyBorder="1" applyAlignment="1">
      <alignment vertical="center"/>
    </xf>
    <xf numFmtId="0" fontId="1" fillId="7" borderId="15" xfId="5" applyBorder="1" applyAlignment="1">
      <alignment vertical="center"/>
    </xf>
    <xf numFmtId="0" fontId="1" fillId="7" borderId="16" xfId="5" applyBorder="1" applyAlignment="1">
      <alignment vertical="center"/>
    </xf>
    <xf numFmtId="14" fontId="0" fillId="0" borderId="1" xfId="0" applyNumberFormat="1" applyBorder="1"/>
    <xf numFmtId="0" fontId="1" fillId="7" borderId="0" xfId="5"/>
    <xf numFmtId="0" fontId="0" fillId="0" borderId="0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0" fontId="4" fillId="0" borderId="1" xfId="0" applyFont="1" applyBorder="1" applyAlignment="1">
      <alignment vertical="center"/>
    </xf>
    <xf numFmtId="0" fontId="6" fillId="0" borderId="1" xfId="0" applyFont="1" applyBorder="1" applyAlignment="1">
      <alignment horizontal="right" vertical="center"/>
    </xf>
    <xf numFmtId="0" fontId="1" fillId="7" borderId="1" xfId="5" applyBorder="1" applyAlignment="1">
      <alignment horizontal="center" vertical="center"/>
    </xf>
    <xf numFmtId="0" fontId="1" fillId="7" borderId="1" xfId="5" applyBorder="1" applyAlignment="1">
      <alignment vertical="center"/>
    </xf>
    <xf numFmtId="0" fontId="0" fillId="0" borderId="0" xfId="0" pivotButton="1"/>
    <xf numFmtId="0" fontId="0" fillId="0" borderId="0" xfId="0" applyNumberFormat="1"/>
    <xf numFmtId="0" fontId="8" fillId="0" borderId="0" xfId="0" applyFont="1"/>
    <xf numFmtId="0" fontId="4" fillId="3" borderId="8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4" fillId="3" borderId="7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1" fillId="7" borderId="1" xfId="5" applyBorder="1" applyAlignment="1">
      <alignment horizontal="center"/>
    </xf>
    <xf numFmtId="0" fontId="7" fillId="8" borderId="1" xfId="6" applyBorder="1" applyAlignment="1">
      <alignment horizontal="center"/>
    </xf>
    <xf numFmtId="0" fontId="0" fillId="9" borderId="1" xfId="0" applyFill="1" applyBorder="1"/>
    <xf numFmtId="14" fontId="0" fillId="9" borderId="0" xfId="0" applyNumberFormat="1" applyFill="1"/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18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18" xfId="0" applyBorder="1"/>
    <xf numFmtId="0" fontId="0" fillId="0" borderId="3" xfId="0" applyBorder="1"/>
  </cellXfs>
  <cellStyles count="7">
    <cellStyle name="20% — акцент3" xfId="3" builtinId="38"/>
    <cellStyle name="20% — акцент5" xfId="5" builtinId="46"/>
    <cellStyle name="40% — акцент3" xfId="2" builtinId="39"/>
    <cellStyle name="40% — акцент4" xfId="4" builtinId="43"/>
    <cellStyle name="40% — акцент6" xfId="1" builtinId="51"/>
    <cellStyle name="Нейтральный" xfId="6" builtinId="28"/>
    <cellStyle name="Обычный" xfId="0" builtinId="0"/>
  </cellStyles>
  <dxfs count="0"/>
  <tableStyles count="0" defaultTableStyle="TableStyleMedium2" defaultPivotStyle="PivotStyleMedium9"/>
  <colors>
    <mruColors>
      <color rgb="FFCAF2D1"/>
      <color rgb="FF97F3BA"/>
      <color rgb="FFA4F4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Range="$Y$3:$Y$8" noThreeD="1" sel="5" val="0"/>
</file>

<file path=xl/ctrlProps/ctrlProp2.xml><?xml version="1.0" encoding="utf-8"?>
<formControlPr xmlns="http://schemas.microsoft.com/office/spreadsheetml/2009/9/main" objectType="Drop" dropStyle="combo" dx="16" fmlaLink="$U$14" fmlaRange="$U$2:$U$13" noThreeD="1" sel="5" val="4"/>
</file>

<file path=xl/ctrlProps/ctrlProp3.xml><?xml version="1.0" encoding="utf-8"?>
<formControlPr xmlns="http://schemas.microsoft.com/office/spreadsheetml/2009/9/main" objectType="Drop" dropStyle="combo" dx="16" fmlaLink="$U$15" fmlaRange="$U$11:$U$14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1052;&#1077;&#1085;&#1102;!A1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228600</xdr:colOff>
      <xdr:row>29</xdr:row>
      <xdr:rowOff>77391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72600" cy="5601891"/>
        </a:xfrm>
        <a:prstGeom prst="rect">
          <a:avLst/>
        </a:prstGeom>
      </xdr:spPr>
    </xdr:pic>
    <xdr:clientData/>
  </xdr:twoCellAnchor>
  <xdr:twoCellAnchor>
    <xdr:from>
      <xdr:col>1</xdr:col>
      <xdr:colOff>390525</xdr:colOff>
      <xdr:row>7</xdr:row>
      <xdr:rowOff>76200</xdr:rowOff>
    </xdr:from>
    <xdr:to>
      <xdr:col>13</xdr:col>
      <xdr:colOff>266700</xdr:colOff>
      <xdr:row>17</xdr:row>
      <xdr:rowOff>19050</xdr:rowOff>
    </xdr:to>
    <xdr:sp macro="" textlink="">
      <xdr:nvSpPr>
        <xdr:cNvPr id="4" name="Скругленный прямоугольник 3"/>
        <xdr:cNvSpPr/>
      </xdr:nvSpPr>
      <xdr:spPr>
        <a:xfrm>
          <a:off x="1000125" y="1409700"/>
          <a:ext cx="7191375" cy="18478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</xdr:col>
      <xdr:colOff>441707</xdr:colOff>
      <xdr:row>8</xdr:row>
      <xdr:rowOff>161925</xdr:rowOff>
    </xdr:from>
    <xdr:ext cx="6854443" cy="1125501"/>
    <xdr:sp macro="" textlink="">
      <xdr:nvSpPr>
        <xdr:cNvPr id="3" name="Прямоугольник 2">
          <a:hlinkClick xmlns:r="http://schemas.openxmlformats.org/officeDocument/2006/relationships" r:id="rId2"/>
        </xdr:cNvPr>
        <xdr:cNvSpPr/>
      </xdr:nvSpPr>
      <xdr:spPr>
        <a:xfrm>
          <a:off x="1051307" y="1685925"/>
          <a:ext cx="6854443" cy="112550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ru-RU" sz="6600" b="1" i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Русский сувенир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2</xdr:row>
      <xdr:rowOff>133351</xdr:rowOff>
    </xdr:from>
    <xdr:to>
      <xdr:col>5</xdr:col>
      <xdr:colOff>276225</xdr:colOff>
      <xdr:row>40</xdr:row>
      <xdr:rowOff>1</xdr:rowOff>
    </xdr:to>
    <xdr:sp macro="" textlink="">
      <xdr:nvSpPr>
        <xdr:cNvPr id="2" name="Скругленный прямоугольник 1"/>
        <xdr:cNvSpPr/>
      </xdr:nvSpPr>
      <xdr:spPr>
        <a:xfrm>
          <a:off x="933450" y="514351"/>
          <a:ext cx="2390775" cy="710565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9525</xdr:rowOff>
        </xdr:from>
        <xdr:to>
          <xdr:col>5</xdr:col>
          <xdr:colOff>19050</xdr:colOff>
          <xdr:row>6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180975</xdr:rowOff>
        </xdr:from>
        <xdr:to>
          <xdr:col>5</xdr:col>
          <xdr:colOff>0</xdr:colOff>
          <xdr:row>9</xdr:row>
          <xdr:rowOff>180975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4</xdr:col>
          <xdr:colOff>590550</xdr:colOff>
          <xdr:row>14</xdr:row>
          <xdr:rowOff>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16</xdr:row>
          <xdr:rowOff>9525</xdr:rowOff>
        </xdr:from>
        <xdr:to>
          <xdr:col>5</xdr:col>
          <xdr:colOff>0</xdr:colOff>
          <xdr:row>18</xdr:row>
          <xdr:rowOff>19050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0</xdr:rowOff>
        </xdr:from>
        <xdr:to>
          <xdr:col>5</xdr:col>
          <xdr:colOff>9525</xdr:colOff>
          <xdr:row>22</xdr:row>
          <xdr:rowOff>0</xdr:rowOff>
        </xdr:to>
        <xdr:sp macro="" textlink="">
          <xdr:nvSpPr>
            <xdr:cNvPr id="2054" name="CommandButton5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180975</xdr:rowOff>
        </xdr:from>
        <xdr:to>
          <xdr:col>5</xdr:col>
          <xdr:colOff>9525</xdr:colOff>
          <xdr:row>26</xdr:row>
          <xdr:rowOff>0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180975</xdr:rowOff>
        </xdr:from>
        <xdr:to>
          <xdr:col>4</xdr:col>
          <xdr:colOff>600075</xdr:colOff>
          <xdr:row>30</xdr:row>
          <xdr:rowOff>9525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31</xdr:row>
          <xdr:rowOff>171450</xdr:rowOff>
        </xdr:from>
        <xdr:to>
          <xdr:col>4</xdr:col>
          <xdr:colOff>600075</xdr:colOff>
          <xdr:row>33</xdr:row>
          <xdr:rowOff>180975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180975</xdr:rowOff>
        </xdr:from>
        <xdr:to>
          <xdr:col>5</xdr:col>
          <xdr:colOff>0</xdr:colOff>
          <xdr:row>37</xdr:row>
          <xdr:rowOff>180975</xdr:rowOff>
        </xdr:to>
        <xdr:sp macro="" textlink="">
          <xdr:nvSpPr>
            <xdr:cNvPr id="2058" name="CommandButton9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2059" name="CommandButton10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180975</xdr:rowOff>
        </xdr:from>
        <xdr:to>
          <xdr:col>2</xdr:col>
          <xdr:colOff>295275</xdr:colOff>
          <xdr:row>14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</xdr:row>
          <xdr:rowOff>9525</xdr:rowOff>
        </xdr:from>
        <xdr:to>
          <xdr:col>9</xdr:col>
          <xdr:colOff>600075</xdr:colOff>
          <xdr:row>2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0</xdr:rowOff>
        </xdr:from>
        <xdr:to>
          <xdr:col>10</xdr:col>
          <xdr:colOff>9525</xdr:colOff>
          <xdr:row>6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19050</xdr:rowOff>
        </xdr:from>
        <xdr:to>
          <xdr:col>14</xdr:col>
          <xdr:colOff>552450</xdr:colOff>
          <xdr:row>3</xdr:row>
          <xdr:rowOff>47625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66675</xdr:colOff>
      <xdr:row>1</xdr:row>
      <xdr:rowOff>171450</xdr:rowOff>
    </xdr:from>
    <xdr:to>
      <xdr:col>16</xdr:col>
      <xdr:colOff>504825</xdr:colOff>
      <xdr:row>2</xdr:row>
      <xdr:rowOff>190500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10639425" y="371475"/>
          <a:ext cx="1047750" cy="219075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0" i="0"/>
            <a:t>Сортировка</a:t>
          </a:r>
        </a:p>
      </xdr:txBody>
    </xdr:sp>
    <xdr:clientData/>
  </xdr:twoCellAnchor>
  <xdr:twoCellAnchor>
    <xdr:from>
      <xdr:col>14</xdr:col>
      <xdr:colOff>38100</xdr:colOff>
      <xdr:row>7</xdr:row>
      <xdr:rowOff>85725</xdr:rowOff>
    </xdr:from>
    <xdr:to>
      <xdr:col>14</xdr:col>
      <xdr:colOff>962025</xdr:colOff>
      <xdr:row>8</xdr:row>
      <xdr:rowOff>123825</xdr:rowOff>
    </xdr:to>
    <xdr:sp macro="[0]!Найти" textlink="">
      <xdr:nvSpPr>
        <xdr:cNvPr id="3" name="Скругленный прямоугольник 2"/>
        <xdr:cNvSpPr/>
      </xdr:nvSpPr>
      <xdr:spPr>
        <a:xfrm>
          <a:off x="10372725" y="1495425"/>
          <a:ext cx="923925" cy="238125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/>
            <a:t>Найти</a:t>
          </a:r>
        </a:p>
      </xdr:txBody>
    </xdr:sp>
    <xdr:clientData/>
  </xdr:twoCellAnchor>
  <xdr:twoCellAnchor>
    <xdr:from>
      <xdr:col>15</xdr:col>
      <xdr:colOff>38100</xdr:colOff>
      <xdr:row>7</xdr:row>
      <xdr:rowOff>85725</xdr:rowOff>
    </xdr:from>
    <xdr:to>
      <xdr:col>16</xdr:col>
      <xdr:colOff>581025</xdr:colOff>
      <xdr:row>8</xdr:row>
      <xdr:rowOff>123825</xdr:rowOff>
    </xdr:to>
    <xdr:sp macro="[0]!Отобразить_всё" textlink="">
      <xdr:nvSpPr>
        <xdr:cNvPr id="4" name="Скругленный прямоугольник 3"/>
        <xdr:cNvSpPr/>
      </xdr:nvSpPr>
      <xdr:spPr>
        <a:xfrm>
          <a:off x="11382375" y="1495425"/>
          <a:ext cx="1323975" cy="238125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/>
            <a:t>Отобразить все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9525</xdr:colOff>
          <xdr:row>3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17</xdr:row>
          <xdr:rowOff>0</xdr:rowOff>
        </xdr:from>
        <xdr:to>
          <xdr:col>2</xdr:col>
          <xdr:colOff>638175</xdr:colOff>
          <xdr:row>19</xdr:row>
          <xdr:rowOff>28575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2</xdr:col>
          <xdr:colOff>9525</xdr:colOff>
          <xdr:row>3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6</xdr:row>
          <xdr:rowOff>114300</xdr:rowOff>
        </xdr:from>
        <xdr:to>
          <xdr:col>3</xdr:col>
          <xdr:colOff>381000</xdr:colOff>
          <xdr:row>7</xdr:row>
          <xdr:rowOff>123825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19050</xdr:colOff>
          <xdr:row>6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9525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171450</xdr:rowOff>
        </xdr:from>
        <xdr:to>
          <xdr:col>2</xdr:col>
          <xdr:colOff>1362075</xdr:colOff>
          <xdr:row>11</xdr:row>
          <xdr:rowOff>9525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571500</xdr:colOff>
      <xdr:row>12</xdr:row>
      <xdr:rowOff>142875</xdr:rowOff>
    </xdr:from>
    <xdr:to>
      <xdr:col>3</xdr:col>
      <xdr:colOff>552450</xdr:colOff>
      <xdr:row>14</xdr:row>
      <xdr:rowOff>85725</xdr:rowOff>
    </xdr:to>
    <xdr:sp macro="[0]!Рассчитать" textlink="">
      <xdr:nvSpPr>
        <xdr:cNvPr id="2" name="Скругленный прямоугольник 1"/>
        <xdr:cNvSpPr/>
      </xdr:nvSpPr>
      <xdr:spPr>
        <a:xfrm>
          <a:off x="1790700" y="2495550"/>
          <a:ext cx="1333500" cy="32385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400" b="1" i="0">
              <a:latin typeface="Calibri Light" panose="020F0302020204030204" pitchFamily="34" charset="0"/>
              <a:cs typeface="Calibri Light" panose="020F0302020204030204" pitchFamily="34" charset="0"/>
            </a:rPr>
            <a:t>Рассчитать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161925</xdr:rowOff>
        </xdr:from>
        <xdr:to>
          <xdr:col>2</xdr:col>
          <xdr:colOff>1333500</xdr:colOff>
          <xdr:row>19</xdr:row>
          <xdr:rowOff>66675</xdr:rowOff>
        </xdr:to>
        <xdr:sp macro="" textlink="">
          <xdr:nvSpPr>
            <xdr:cNvPr id="9222" name="CommandButton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1</xdr:row>
          <xdr:rowOff>9525</xdr:rowOff>
        </xdr:from>
        <xdr:to>
          <xdr:col>11</xdr:col>
          <xdr:colOff>695325</xdr:colOff>
          <xdr:row>2</xdr:row>
          <xdr:rowOff>76200</xdr:rowOff>
        </xdr:to>
        <xdr:sp macro="" textlink="">
          <xdr:nvSpPr>
            <xdr:cNvPr id="9223" name="CommandButton4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171450</xdr:rowOff>
        </xdr:from>
        <xdr:to>
          <xdr:col>1</xdr:col>
          <xdr:colOff>1143000</xdr:colOff>
          <xdr:row>19</xdr:row>
          <xdr:rowOff>76200</xdr:rowOff>
        </xdr:to>
        <xdr:sp macro="" textlink="">
          <xdr:nvSpPr>
            <xdr:cNvPr id="9224" name="CommandButton5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1055;&#1088;&#1086;&#1090;&#1086;&#1090;&#1080;&#1087;&#1080;&#1088;&#1086;&#1074;&#1072;&#1085;&#1080;&#1077;%20&#1048;&#1057;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втор" refreshedDate="44544.540183217592" createdVersion="5" refreshedVersion="5" minRefreshableVersion="3" recordCount="298">
  <cacheSource type="worksheet">
    <worksheetSource name="Данные_продаж" r:id="rId2"/>
  </cacheSource>
  <cacheFields count="6">
    <cacheField name="Дата продажи" numFmtId="14">
      <sharedItems containsSemiMixedTypes="0" containsNonDate="0" containsDate="1" containsString="0" minDate="2009-10-01T00:00:00" maxDate="2009-10-31T00:00:00"/>
    </cacheField>
    <cacheField name="Код товара" numFmtId="0">
      <sharedItems containsSemiMixedTypes="0" containsString="0" containsNumber="1" containsInteger="1" minValue="1" maxValue="6"/>
    </cacheField>
    <cacheField name="Наименование" numFmtId="0">
      <sharedItems count="6">
        <s v="Лапти липовые"/>
        <s v="Лапти дубовые"/>
        <s v="Кепка a ’la Lenin"/>
        <s v="Валенки"/>
        <s v="Галоши"/>
        <s v="Кепка a 'la Luzkov"/>
      </sharedItems>
    </cacheField>
    <cacheField name="Количество" numFmtId="0">
      <sharedItems containsSemiMixedTypes="0" containsString="0" containsNumber="1" containsInteger="1" minValue="1" maxValue="10"/>
    </cacheField>
    <cacheField name="Цена" numFmtId="0">
      <sharedItems containsSemiMixedTypes="0" containsString="0" containsNumber="1" minValue="110.00000000000001" maxValue="600"/>
    </cacheField>
    <cacheField name="Сумма" numFmtId="0">
      <sharedItems containsSemiMixedTypes="0" containsString="0" containsNumber="1" minValue="110.00000000000001" maxValue="6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8">
  <r>
    <d v="2009-10-04T00:00:00"/>
    <n v="1"/>
    <x v="0"/>
    <n v="1"/>
    <n v="110.00000000000001"/>
    <n v="110.00000000000001"/>
  </r>
  <r>
    <d v="2009-10-05T00:00:00"/>
    <n v="1"/>
    <x v="0"/>
    <n v="1"/>
    <n v="110.00000000000001"/>
    <n v="110.00000000000001"/>
  </r>
  <r>
    <d v="2009-10-07T00:00:00"/>
    <n v="2"/>
    <x v="1"/>
    <n v="1"/>
    <n v="240"/>
    <n v="240"/>
  </r>
  <r>
    <d v="2009-10-09T00:00:00"/>
    <n v="5"/>
    <x v="2"/>
    <n v="1"/>
    <n v="440.00000000000006"/>
    <n v="440.00000000000006"/>
  </r>
  <r>
    <d v="2009-10-11T00:00:00"/>
    <n v="1"/>
    <x v="0"/>
    <n v="1"/>
    <n v="110.00000000000001"/>
    <n v="110.00000000000001"/>
  </r>
  <r>
    <d v="2009-10-12T00:00:00"/>
    <n v="4"/>
    <x v="3"/>
    <n v="1"/>
    <n v="330"/>
    <n v="330"/>
  </r>
  <r>
    <d v="2009-10-12T00:00:00"/>
    <n v="1"/>
    <x v="0"/>
    <n v="1"/>
    <n v="110.00000000000001"/>
    <n v="110.00000000000001"/>
  </r>
  <r>
    <d v="2009-10-12T00:00:00"/>
    <n v="3"/>
    <x v="4"/>
    <n v="1"/>
    <n v="165"/>
    <n v="165"/>
  </r>
  <r>
    <d v="2009-10-13T00:00:00"/>
    <n v="2"/>
    <x v="1"/>
    <n v="1"/>
    <n v="240"/>
    <n v="240"/>
  </r>
  <r>
    <d v="2009-10-13T00:00:00"/>
    <n v="3"/>
    <x v="4"/>
    <n v="1"/>
    <n v="165"/>
    <n v="165"/>
  </r>
  <r>
    <d v="2009-10-14T00:00:00"/>
    <n v="3"/>
    <x v="4"/>
    <n v="1"/>
    <n v="165"/>
    <n v="165"/>
  </r>
  <r>
    <d v="2009-10-14T00:00:00"/>
    <n v="5"/>
    <x v="2"/>
    <n v="1"/>
    <n v="440.00000000000006"/>
    <n v="440.00000000000006"/>
  </r>
  <r>
    <d v="2009-10-14T00:00:00"/>
    <n v="4"/>
    <x v="3"/>
    <n v="1"/>
    <n v="330"/>
    <n v="330"/>
  </r>
  <r>
    <d v="2009-10-16T00:00:00"/>
    <n v="1"/>
    <x v="0"/>
    <n v="1"/>
    <n v="110.00000000000001"/>
    <n v="110.00000000000001"/>
  </r>
  <r>
    <d v="2009-10-17T00:00:00"/>
    <n v="5"/>
    <x v="2"/>
    <n v="1"/>
    <n v="440.00000000000006"/>
    <n v="440.00000000000006"/>
  </r>
  <r>
    <d v="2009-10-18T00:00:00"/>
    <n v="2"/>
    <x v="1"/>
    <n v="1"/>
    <n v="240"/>
    <n v="240"/>
  </r>
  <r>
    <d v="2009-10-18T00:00:00"/>
    <n v="4"/>
    <x v="3"/>
    <n v="1"/>
    <n v="330"/>
    <n v="330"/>
  </r>
  <r>
    <d v="2009-10-19T00:00:00"/>
    <n v="1"/>
    <x v="0"/>
    <n v="1"/>
    <n v="110.00000000000001"/>
    <n v="110.00000000000001"/>
  </r>
  <r>
    <d v="2009-10-19T00:00:00"/>
    <n v="2"/>
    <x v="1"/>
    <n v="1"/>
    <n v="240"/>
    <n v="240"/>
  </r>
  <r>
    <d v="2009-10-20T00:00:00"/>
    <n v="5"/>
    <x v="2"/>
    <n v="1"/>
    <n v="440.00000000000006"/>
    <n v="440.00000000000006"/>
  </r>
  <r>
    <d v="2009-10-21T00:00:00"/>
    <n v="1"/>
    <x v="0"/>
    <n v="1"/>
    <n v="110.00000000000001"/>
    <n v="110.00000000000001"/>
  </r>
  <r>
    <d v="2009-10-22T00:00:00"/>
    <n v="2"/>
    <x v="1"/>
    <n v="1"/>
    <n v="240"/>
    <n v="240"/>
  </r>
  <r>
    <d v="2009-10-22T00:00:00"/>
    <n v="5"/>
    <x v="2"/>
    <n v="1"/>
    <n v="440.00000000000006"/>
    <n v="440.00000000000006"/>
  </r>
  <r>
    <d v="2009-10-22T00:00:00"/>
    <n v="4"/>
    <x v="3"/>
    <n v="1"/>
    <n v="330"/>
    <n v="330"/>
  </r>
  <r>
    <d v="2009-10-22T00:00:00"/>
    <n v="5"/>
    <x v="2"/>
    <n v="1"/>
    <n v="440.00000000000006"/>
    <n v="440.00000000000006"/>
  </r>
  <r>
    <d v="2009-10-23T00:00:00"/>
    <n v="3"/>
    <x v="4"/>
    <n v="1"/>
    <n v="165"/>
    <n v="165"/>
  </r>
  <r>
    <d v="2009-10-25T00:00:00"/>
    <n v="1"/>
    <x v="0"/>
    <n v="1"/>
    <n v="110.00000000000001"/>
    <n v="110.00000000000001"/>
  </r>
  <r>
    <d v="2009-10-26T00:00:00"/>
    <n v="3"/>
    <x v="4"/>
    <n v="1"/>
    <n v="165"/>
    <n v="165"/>
  </r>
  <r>
    <d v="2009-10-26T00:00:00"/>
    <n v="3"/>
    <x v="4"/>
    <n v="1"/>
    <n v="165"/>
    <n v="165"/>
  </r>
  <r>
    <d v="2009-10-29T00:00:00"/>
    <n v="6"/>
    <x v="5"/>
    <n v="1"/>
    <n v="600"/>
    <n v="600"/>
  </r>
  <r>
    <d v="2009-10-29T00:00:00"/>
    <n v="3"/>
    <x v="4"/>
    <n v="1"/>
    <n v="165"/>
    <n v="165"/>
  </r>
  <r>
    <d v="2009-10-30T00:00:00"/>
    <n v="4"/>
    <x v="3"/>
    <n v="1"/>
    <n v="330"/>
    <n v="330"/>
  </r>
  <r>
    <d v="2009-10-01T00:00:00"/>
    <n v="6"/>
    <x v="5"/>
    <n v="2"/>
    <n v="600"/>
    <n v="1200"/>
  </r>
  <r>
    <d v="2009-10-01T00:00:00"/>
    <n v="1"/>
    <x v="0"/>
    <n v="2"/>
    <n v="110.00000000000001"/>
    <n v="220.00000000000003"/>
  </r>
  <r>
    <d v="2009-10-04T00:00:00"/>
    <n v="6"/>
    <x v="5"/>
    <n v="2"/>
    <n v="600"/>
    <n v="1200"/>
  </r>
  <r>
    <d v="2009-10-05T00:00:00"/>
    <n v="1"/>
    <x v="0"/>
    <n v="2"/>
    <n v="110.00000000000001"/>
    <n v="220.00000000000003"/>
  </r>
  <r>
    <d v="2009-10-05T00:00:00"/>
    <n v="4"/>
    <x v="3"/>
    <n v="2"/>
    <n v="330"/>
    <n v="660"/>
  </r>
  <r>
    <d v="2009-10-06T00:00:00"/>
    <n v="5"/>
    <x v="2"/>
    <n v="2"/>
    <n v="440.00000000000006"/>
    <n v="880.00000000000011"/>
  </r>
  <r>
    <d v="2009-10-07T00:00:00"/>
    <n v="5"/>
    <x v="2"/>
    <n v="2"/>
    <n v="440.00000000000006"/>
    <n v="880.00000000000011"/>
  </r>
  <r>
    <d v="2009-10-07T00:00:00"/>
    <n v="5"/>
    <x v="2"/>
    <n v="2"/>
    <n v="440.00000000000006"/>
    <n v="880.00000000000011"/>
  </r>
  <r>
    <d v="2009-10-07T00:00:00"/>
    <n v="4"/>
    <x v="3"/>
    <n v="2"/>
    <n v="330"/>
    <n v="660"/>
  </r>
  <r>
    <d v="2009-10-08T00:00:00"/>
    <n v="4"/>
    <x v="3"/>
    <n v="2"/>
    <n v="330"/>
    <n v="660"/>
  </r>
  <r>
    <d v="2009-10-08T00:00:00"/>
    <n v="2"/>
    <x v="1"/>
    <n v="2"/>
    <n v="240"/>
    <n v="480"/>
  </r>
  <r>
    <d v="2009-10-09T00:00:00"/>
    <n v="6"/>
    <x v="5"/>
    <n v="2"/>
    <n v="600"/>
    <n v="1200"/>
  </r>
  <r>
    <d v="2009-10-11T00:00:00"/>
    <n v="4"/>
    <x v="3"/>
    <n v="2"/>
    <n v="330"/>
    <n v="660"/>
  </r>
  <r>
    <d v="2009-10-13T00:00:00"/>
    <n v="6"/>
    <x v="5"/>
    <n v="2"/>
    <n v="600"/>
    <n v="1200"/>
  </r>
  <r>
    <d v="2009-10-13T00:00:00"/>
    <n v="5"/>
    <x v="2"/>
    <n v="2"/>
    <n v="440.00000000000006"/>
    <n v="880.00000000000011"/>
  </r>
  <r>
    <d v="2009-10-14T00:00:00"/>
    <n v="2"/>
    <x v="1"/>
    <n v="2"/>
    <n v="240"/>
    <n v="480"/>
  </r>
  <r>
    <d v="2009-10-14T00:00:00"/>
    <n v="6"/>
    <x v="5"/>
    <n v="2"/>
    <n v="600"/>
    <n v="1200"/>
  </r>
  <r>
    <d v="2009-10-15T00:00:00"/>
    <n v="1"/>
    <x v="0"/>
    <n v="2"/>
    <n v="110.00000000000001"/>
    <n v="220.00000000000003"/>
  </r>
  <r>
    <d v="2009-10-16T00:00:00"/>
    <n v="5"/>
    <x v="2"/>
    <n v="2"/>
    <n v="440.00000000000006"/>
    <n v="880.00000000000011"/>
  </r>
  <r>
    <d v="2009-10-19T00:00:00"/>
    <n v="2"/>
    <x v="1"/>
    <n v="2"/>
    <n v="240"/>
    <n v="480"/>
  </r>
  <r>
    <d v="2009-10-19T00:00:00"/>
    <n v="5"/>
    <x v="2"/>
    <n v="2"/>
    <n v="440.00000000000006"/>
    <n v="880.00000000000011"/>
  </r>
  <r>
    <d v="2009-10-20T00:00:00"/>
    <n v="5"/>
    <x v="2"/>
    <n v="2"/>
    <n v="440.00000000000006"/>
    <n v="880.00000000000011"/>
  </r>
  <r>
    <d v="2009-10-20T00:00:00"/>
    <n v="3"/>
    <x v="4"/>
    <n v="2"/>
    <n v="165"/>
    <n v="330"/>
  </r>
  <r>
    <d v="2009-10-21T00:00:00"/>
    <n v="5"/>
    <x v="2"/>
    <n v="2"/>
    <n v="440.00000000000006"/>
    <n v="880.00000000000011"/>
  </r>
  <r>
    <d v="2009-10-23T00:00:00"/>
    <n v="2"/>
    <x v="1"/>
    <n v="2"/>
    <n v="240"/>
    <n v="480"/>
  </r>
  <r>
    <d v="2009-10-26T00:00:00"/>
    <n v="1"/>
    <x v="0"/>
    <n v="2"/>
    <n v="110.00000000000001"/>
    <n v="220.00000000000003"/>
  </r>
  <r>
    <d v="2009-10-26T00:00:00"/>
    <n v="2"/>
    <x v="1"/>
    <n v="2"/>
    <n v="240"/>
    <n v="480"/>
  </r>
  <r>
    <d v="2009-10-26T00:00:00"/>
    <n v="2"/>
    <x v="1"/>
    <n v="2"/>
    <n v="240"/>
    <n v="480"/>
  </r>
  <r>
    <d v="2009-10-30T00:00:00"/>
    <n v="5"/>
    <x v="2"/>
    <n v="2"/>
    <n v="440.00000000000006"/>
    <n v="880.00000000000011"/>
  </r>
  <r>
    <d v="2009-10-03T00:00:00"/>
    <n v="3"/>
    <x v="4"/>
    <n v="3"/>
    <n v="165"/>
    <n v="495"/>
  </r>
  <r>
    <d v="2009-10-03T00:00:00"/>
    <n v="6"/>
    <x v="5"/>
    <n v="3"/>
    <n v="600"/>
    <n v="1800"/>
  </r>
  <r>
    <d v="2009-10-06T00:00:00"/>
    <n v="4"/>
    <x v="3"/>
    <n v="3"/>
    <n v="330"/>
    <n v="990"/>
  </r>
  <r>
    <d v="2009-10-06T00:00:00"/>
    <n v="4"/>
    <x v="3"/>
    <n v="3"/>
    <n v="330"/>
    <n v="990"/>
  </r>
  <r>
    <d v="2009-10-09T00:00:00"/>
    <n v="6"/>
    <x v="5"/>
    <n v="3"/>
    <n v="600"/>
    <n v="1800"/>
  </r>
  <r>
    <d v="2009-10-11T00:00:00"/>
    <n v="1"/>
    <x v="0"/>
    <n v="3"/>
    <n v="110.00000000000001"/>
    <n v="330.00000000000006"/>
  </r>
  <r>
    <d v="2009-10-11T00:00:00"/>
    <n v="2"/>
    <x v="1"/>
    <n v="3"/>
    <n v="240"/>
    <n v="720"/>
  </r>
  <r>
    <d v="2009-10-11T00:00:00"/>
    <n v="1"/>
    <x v="0"/>
    <n v="3"/>
    <n v="110.00000000000001"/>
    <n v="330.00000000000006"/>
  </r>
  <r>
    <d v="2009-10-11T00:00:00"/>
    <n v="2"/>
    <x v="1"/>
    <n v="3"/>
    <n v="240"/>
    <n v="720"/>
  </r>
  <r>
    <d v="2009-10-12T00:00:00"/>
    <n v="1"/>
    <x v="0"/>
    <n v="3"/>
    <n v="110.00000000000001"/>
    <n v="330.00000000000006"/>
  </r>
  <r>
    <d v="2009-10-12T00:00:00"/>
    <n v="3"/>
    <x v="4"/>
    <n v="3"/>
    <n v="165"/>
    <n v="495"/>
  </r>
  <r>
    <d v="2009-10-12T00:00:00"/>
    <n v="5"/>
    <x v="2"/>
    <n v="3"/>
    <n v="440.00000000000006"/>
    <n v="1320.0000000000002"/>
  </r>
  <r>
    <d v="2009-10-15T00:00:00"/>
    <n v="1"/>
    <x v="0"/>
    <n v="3"/>
    <n v="110.00000000000001"/>
    <n v="330.00000000000006"/>
  </r>
  <r>
    <d v="2009-10-16T00:00:00"/>
    <n v="6"/>
    <x v="5"/>
    <n v="3"/>
    <n v="600"/>
    <n v="1800"/>
  </r>
  <r>
    <d v="2009-10-17T00:00:00"/>
    <n v="4"/>
    <x v="3"/>
    <n v="3"/>
    <n v="330"/>
    <n v="990"/>
  </r>
  <r>
    <d v="2009-10-18T00:00:00"/>
    <n v="6"/>
    <x v="5"/>
    <n v="3"/>
    <n v="600"/>
    <n v="1800"/>
  </r>
  <r>
    <d v="2009-10-18T00:00:00"/>
    <n v="5"/>
    <x v="2"/>
    <n v="3"/>
    <n v="440.00000000000006"/>
    <n v="1320.0000000000002"/>
  </r>
  <r>
    <d v="2009-10-19T00:00:00"/>
    <n v="1"/>
    <x v="0"/>
    <n v="3"/>
    <n v="110.00000000000001"/>
    <n v="330.00000000000006"/>
  </r>
  <r>
    <d v="2009-10-20T00:00:00"/>
    <n v="2"/>
    <x v="1"/>
    <n v="3"/>
    <n v="240"/>
    <n v="720"/>
  </r>
  <r>
    <d v="2009-10-20T00:00:00"/>
    <n v="6"/>
    <x v="5"/>
    <n v="3"/>
    <n v="600"/>
    <n v="1800"/>
  </r>
  <r>
    <d v="2009-10-21T00:00:00"/>
    <n v="3"/>
    <x v="4"/>
    <n v="3"/>
    <n v="165"/>
    <n v="495"/>
  </r>
  <r>
    <d v="2009-10-23T00:00:00"/>
    <n v="4"/>
    <x v="3"/>
    <n v="3"/>
    <n v="330"/>
    <n v="990"/>
  </r>
  <r>
    <d v="2009-10-24T00:00:00"/>
    <n v="2"/>
    <x v="1"/>
    <n v="3"/>
    <n v="240"/>
    <n v="720"/>
  </r>
  <r>
    <d v="2009-10-24T00:00:00"/>
    <n v="3"/>
    <x v="4"/>
    <n v="3"/>
    <n v="165"/>
    <n v="495"/>
  </r>
  <r>
    <d v="2009-10-24T00:00:00"/>
    <n v="6"/>
    <x v="5"/>
    <n v="3"/>
    <n v="600"/>
    <n v="1800"/>
  </r>
  <r>
    <d v="2009-10-25T00:00:00"/>
    <n v="1"/>
    <x v="0"/>
    <n v="3"/>
    <n v="110.00000000000001"/>
    <n v="330.00000000000006"/>
  </r>
  <r>
    <d v="2009-10-25T00:00:00"/>
    <n v="2"/>
    <x v="1"/>
    <n v="3"/>
    <n v="240"/>
    <n v="720"/>
  </r>
  <r>
    <d v="2009-10-26T00:00:00"/>
    <n v="1"/>
    <x v="0"/>
    <n v="3"/>
    <n v="110.00000000000001"/>
    <n v="330.00000000000006"/>
  </r>
  <r>
    <d v="2009-10-26T00:00:00"/>
    <n v="4"/>
    <x v="3"/>
    <n v="3"/>
    <n v="330"/>
    <n v="990"/>
  </r>
  <r>
    <d v="2009-10-27T00:00:00"/>
    <n v="3"/>
    <x v="4"/>
    <n v="3"/>
    <n v="165"/>
    <n v="495"/>
  </r>
  <r>
    <d v="2009-10-29T00:00:00"/>
    <n v="4"/>
    <x v="3"/>
    <n v="3"/>
    <n v="330"/>
    <n v="990"/>
  </r>
  <r>
    <d v="2009-10-30T00:00:00"/>
    <n v="6"/>
    <x v="5"/>
    <n v="3"/>
    <n v="600"/>
    <n v="1800"/>
  </r>
  <r>
    <d v="2009-10-01T00:00:00"/>
    <n v="6"/>
    <x v="5"/>
    <n v="4"/>
    <n v="600"/>
    <n v="2400"/>
  </r>
  <r>
    <d v="2009-10-01T00:00:00"/>
    <n v="1"/>
    <x v="0"/>
    <n v="4"/>
    <n v="110.00000000000001"/>
    <n v="440.00000000000006"/>
  </r>
  <r>
    <d v="2009-10-02T00:00:00"/>
    <n v="2"/>
    <x v="1"/>
    <n v="4"/>
    <n v="240"/>
    <n v="960"/>
  </r>
  <r>
    <d v="2009-10-03T00:00:00"/>
    <n v="2"/>
    <x v="1"/>
    <n v="4"/>
    <n v="240"/>
    <n v="960"/>
  </r>
  <r>
    <d v="2009-10-03T00:00:00"/>
    <n v="1"/>
    <x v="0"/>
    <n v="4"/>
    <n v="110.00000000000001"/>
    <n v="440.00000000000006"/>
  </r>
  <r>
    <d v="2009-10-04T00:00:00"/>
    <n v="6"/>
    <x v="5"/>
    <n v="4"/>
    <n v="600"/>
    <n v="2400"/>
  </r>
  <r>
    <d v="2009-10-04T00:00:00"/>
    <n v="3"/>
    <x v="4"/>
    <n v="4"/>
    <n v="165"/>
    <n v="660"/>
  </r>
  <r>
    <d v="2009-10-06T00:00:00"/>
    <n v="5"/>
    <x v="2"/>
    <n v="4"/>
    <n v="440.00000000000006"/>
    <n v="1760.0000000000002"/>
  </r>
  <r>
    <d v="2009-10-08T00:00:00"/>
    <n v="6"/>
    <x v="5"/>
    <n v="4"/>
    <n v="600"/>
    <n v="2400"/>
  </r>
  <r>
    <d v="2009-10-09T00:00:00"/>
    <n v="1"/>
    <x v="0"/>
    <n v="4"/>
    <n v="110.00000000000001"/>
    <n v="440.00000000000006"/>
  </r>
  <r>
    <d v="2009-10-10T00:00:00"/>
    <n v="4"/>
    <x v="3"/>
    <n v="4"/>
    <n v="330"/>
    <n v="1320"/>
  </r>
  <r>
    <d v="2009-10-10T00:00:00"/>
    <n v="5"/>
    <x v="2"/>
    <n v="4"/>
    <n v="440.00000000000006"/>
    <n v="1760.0000000000002"/>
  </r>
  <r>
    <d v="2009-10-12T00:00:00"/>
    <n v="5"/>
    <x v="2"/>
    <n v="4"/>
    <n v="440.00000000000006"/>
    <n v="1760.0000000000002"/>
  </r>
  <r>
    <d v="2009-10-15T00:00:00"/>
    <n v="6"/>
    <x v="5"/>
    <n v="4"/>
    <n v="600"/>
    <n v="2400"/>
  </r>
  <r>
    <d v="2009-10-16T00:00:00"/>
    <n v="6"/>
    <x v="5"/>
    <n v="4"/>
    <n v="600"/>
    <n v="2400"/>
  </r>
  <r>
    <d v="2009-10-16T00:00:00"/>
    <n v="5"/>
    <x v="2"/>
    <n v="4"/>
    <n v="440.00000000000006"/>
    <n v="1760.0000000000002"/>
  </r>
  <r>
    <d v="2009-10-17T00:00:00"/>
    <n v="3"/>
    <x v="4"/>
    <n v="4"/>
    <n v="165"/>
    <n v="660"/>
  </r>
  <r>
    <d v="2009-10-18T00:00:00"/>
    <n v="6"/>
    <x v="5"/>
    <n v="4"/>
    <n v="600"/>
    <n v="2400"/>
  </r>
  <r>
    <d v="2009-10-18T00:00:00"/>
    <n v="1"/>
    <x v="0"/>
    <n v="4"/>
    <n v="110.00000000000001"/>
    <n v="440.00000000000006"/>
  </r>
  <r>
    <d v="2009-10-19T00:00:00"/>
    <n v="1"/>
    <x v="0"/>
    <n v="4"/>
    <n v="110.00000000000001"/>
    <n v="440.00000000000006"/>
  </r>
  <r>
    <d v="2009-10-19T00:00:00"/>
    <n v="5"/>
    <x v="2"/>
    <n v="4"/>
    <n v="440.00000000000006"/>
    <n v="1760.0000000000002"/>
  </r>
  <r>
    <d v="2009-10-19T00:00:00"/>
    <n v="5"/>
    <x v="2"/>
    <n v="4"/>
    <n v="440.00000000000006"/>
    <n v="1760.0000000000002"/>
  </r>
  <r>
    <d v="2009-10-21T00:00:00"/>
    <n v="6"/>
    <x v="5"/>
    <n v="4"/>
    <n v="600"/>
    <n v="2400"/>
  </r>
  <r>
    <d v="2009-10-21T00:00:00"/>
    <n v="4"/>
    <x v="3"/>
    <n v="4"/>
    <n v="330"/>
    <n v="1320"/>
  </r>
  <r>
    <d v="2009-10-24T00:00:00"/>
    <n v="6"/>
    <x v="5"/>
    <n v="4"/>
    <n v="600"/>
    <n v="2400"/>
  </r>
  <r>
    <d v="2009-10-26T00:00:00"/>
    <n v="3"/>
    <x v="4"/>
    <n v="4"/>
    <n v="165"/>
    <n v="660"/>
  </r>
  <r>
    <d v="2009-10-27T00:00:00"/>
    <n v="3"/>
    <x v="4"/>
    <n v="4"/>
    <n v="165"/>
    <n v="660"/>
  </r>
  <r>
    <d v="2009-10-29T00:00:00"/>
    <n v="3"/>
    <x v="4"/>
    <n v="4"/>
    <n v="165"/>
    <n v="660"/>
  </r>
  <r>
    <d v="2009-10-30T00:00:00"/>
    <n v="2"/>
    <x v="1"/>
    <n v="4"/>
    <n v="240"/>
    <n v="960"/>
  </r>
  <r>
    <d v="2009-10-01T00:00:00"/>
    <n v="2"/>
    <x v="1"/>
    <n v="5"/>
    <n v="240"/>
    <n v="1200"/>
  </r>
  <r>
    <d v="2009-10-04T00:00:00"/>
    <n v="6"/>
    <x v="5"/>
    <n v="5"/>
    <n v="600"/>
    <n v="3000"/>
  </r>
  <r>
    <d v="2009-10-06T00:00:00"/>
    <n v="6"/>
    <x v="5"/>
    <n v="5"/>
    <n v="600"/>
    <n v="3000"/>
  </r>
  <r>
    <d v="2009-10-07T00:00:00"/>
    <n v="5"/>
    <x v="2"/>
    <n v="5"/>
    <n v="440.00000000000006"/>
    <n v="2200.0000000000005"/>
  </r>
  <r>
    <d v="2009-10-08T00:00:00"/>
    <n v="4"/>
    <x v="3"/>
    <n v="5"/>
    <n v="330"/>
    <n v="1650"/>
  </r>
  <r>
    <d v="2009-10-08T00:00:00"/>
    <n v="3"/>
    <x v="4"/>
    <n v="5"/>
    <n v="165"/>
    <n v="825"/>
  </r>
  <r>
    <d v="2009-10-11T00:00:00"/>
    <n v="5"/>
    <x v="2"/>
    <n v="5"/>
    <n v="440.00000000000006"/>
    <n v="2200.0000000000005"/>
  </r>
  <r>
    <d v="2009-10-12T00:00:00"/>
    <n v="5"/>
    <x v="2"/>
    <n v="5"/>
    <n v="440.00000000000006"/>
    <n v="2200.0000000000005"/>
  </r>
  <r>
    <d v="2009-10-14T00:00:00"/>
    <n v="4"/>
    <x v="3"/>
    <n v="5"/>
    <n v="330"/>
    <n v="1650"/>
  </r>
  <r>
    <d v="2009-10-15T00:00:00"/>
    <n v="5"/>
    <x v="2"/>
    <n v="5"/>
    <n v="440.00000000000006"/>
    <n v="2200.0000000000005"/>
  </r>
  <r>
    <d v="2009-10-16T00:00:00"/>
    <n v="4"/>
    <x v="3"/>
    <n v="5"/>
    <n v="330"/>
    <n v="1650"/>
  </r>
  <r>
    <d v="2009-10-16T00:00:00"/>
    <n v="5"/>
    <x v="2"/>
    <n v="5"/>
    <n v="440.00000000000006"/>
    <n v="2200.0000000000005"/>
  </r>
  <r>
    <d v="2009-10-18T00:00:00"/>
    <n v="4"/>
    <x v="3"/>
    <n v="5"/>
    <n v="330"/>
    <n v="1650"/>
  </r>
  <r>
    <d v="2009-10-19T00:00:00"/>
    <n v="6"/>
    <x v="5"/>
    <n v="5"/>
    <n v="600"/>
    <n v="3000"/>
  </r>
  <r>
    <d v="2009-10-21T00:00:00"/>
    <n v="3"/>
    <x v="4"/>
    <n v="5"/>
    <n v="165"/>
    <n v="825"/>
  </r>
  <r>
    <d v="2009-10-21T00:00:00"/>
    <n v="5"/>
    <x v="2"/>
    <n v="5"/>
    <n v="440.00000000000006"/>
    <n v="2200.0000000000005"/>
  </r>
  <r>
    <d v="2009-10-21T00:00:00"/>
    <n v="1"/>
    <x v="0"/>
    <n v="5"/>
    <n v="110.00000000000001"/>
    <n v="550.00000000000011"/>
  </r>
  <r>
    <d v="2009-10-22T00:00:00"/>
    <n v="6"/>
    <x v="5"/>
    <n v="5"/>
    <n v="600"/>
    <n v="3000"/>
  </r>
  <r>
    <d v="2009-10-22T00:00:00"/>
    <n v="1"/>
    <x v="0"/>
    <n v="5"/>
    <n v="110.00000000000001"/>
    <n v="550.00000000000011"/>
  </r>
  <r>
    <d v="2009-10-23T00:00:00"/>
    <n v="3"/>
    <x v="4"/>
    <n v="5"/>
    <n v="165"/>
    <n v="825"/>
  </r>
  <r>
    <d v="2009-10-24T00:00:00"/>
    <n v="2"/>
    <x v="1"/>
    <n v="5"/>
    <n v="240"/>
    <n v="1200"/>
  </r>
  <r>
    <d v="2009-10-25T00:00:00"/>
    <n v="3"/>
    <x v="4"/>
    <n v="5"/>
    <n v="165"/>
    <n v="825"/>
  </r>
  <r>
    <d v="2009-10-26T00:00:00"/>
    <n v="5"/>
    <x v="2"/>
    <n v="5"/>
    <n v="440.00000000000006"/>
    <n v="2200.0000000000005"/>
  </r>
  <r>
    <d v="2009-10-26T00:00:00"/>
    <n v="6"/>
    <x v="5"/>
    <n v="5"/>
    <n v="600"/>
    <n v="3000"/>
  </r>
  <r>
    <d v="2009-10-27T00:00:00"/>
    <n v="2"/>
    <x v="1"/>
    <n v="5"/>
    <n v="240"/>
    <n v="1200"/>
  </r>
  <r>
    <d v="2009-10-27T00:00:00"/>
    <n v="4"/>
    <x v="3"/>
    <n v="5"/>
    <n v="330"/>
    <n v="1650"/>
  </r>
  <r>
    <d v="2009-10-28T00:00:00"/>
    <n v="5"/>
    <x v="2"/>
    <n v="5"/>
    <n v="440.00000000000006"/>
    <n v="2200.0000000000005"/>
  </r>
  <r>
    <d v="2009-10-28T00:00:00"/>
    <n v="5"/>
    <x v="2"/>
    <n v="5"/>
    <n v="440.00000000000006"/>
    <n v="2200.0000000000005"/>
  </r>
  <r>
    <d v="2009-10-29T00:00:00"/>
    <n v="1"/>
    <x v="0"/>
    <n v="5"/>
    <n v="110.00000000000001"/>
    <n v="550.00000000000011"/>
  </r>
  <r>
    <d v="2009-10-01T00:00:00"/>
    <n v="5"/>
    <x v="2"/>
    <n v="6"/>
    <n v="440.00000000000006"/>
    <n v="2640.0000000000005"/>
  </r>
  <r>
    <d v="2009-10-01T00:00:00"/>
    <n v="4"/>
    <x v="3"/>
    <n v="6"/>
    <n v="330"/>
    <n v="1980"/>
  </r>
  <r>
    <d v="2009-10-02T00:00:00"/>
    <n v="5"/>
    <x v="2"/>
    <n v="6"/>
    <n v="440.00000000000006"/>
    <n v="2640.0000000000005"/>
  </r>
  <r>
    <d v="2009-10-02T00:00:00"/>
    <n v="5"/>
    <x v="2"/>
    <n v="6"/>
    <n v="440.00000000000006"/>
    <n v="2640.0000000000005"/>
  </r>
  <r>
    <d v="2009-10-04T00:00:00"/>
    <n v="1"/>
    <x v="0"/>
    <n v="6"/>
    <n v="110.00000000000001"/>
    <n v="660.00000000000011"/>
  </r>
  <r>
    <d v="2009-10-04T00:00:00"/>
    <n v="4"/>
    <x v="3"/>
    <n v="6"/>
    <n v="330"/>
    <n v="1980"/>
  </r>
  <r>
    <d v="2009-10-05T00:00:00"/>
    <n v="1"/>
    <x v="0"/>
    <n v="6"/>
    <n v="110.00000000000001"/>
    <n v="660.00000000000011"/>
  </r>
  <r>
    <d v="2009-10-07T00:00:00"/>
    <n v="4"/>
    <x v="3"/>
    <n v="6"/>
    <n v="330"/>
    <n v="1980"/>
  </r>
  <r>
    <d v="2009-10-07T00:00:00"/>
    <n v="4"/>
    <x v="3"/>
    <n v="6"/>
    <n v="330"/>
    <n v="1980"/>
  </r>
  <r>
    <d v="2009-10-10T00:00:00"/>
    <n v="4"/>
    <x v="3"/>
    <n v="6"/>
    <n v="330"/>
    <n v="1980"/>
  </r>
  <r>
    <d v="2009-10-10T00:00:00"/>
    <n v="5"/>
    <x v="2"/>
    <n v="6"/>
    <n v="440.00000000000006"/>
    <n v="2640.0000000000005"/>
  </r>
  <r>
    <d v="2009-10-11T00:00:00"/>
    <n v="5"/>
    <x v="2"/>
    <n v="6"/>
    <n v="440.00000000000006"/>
    <n v="2640.0000000000005"/>
  </r>
  <r>
    <d v="2009-10-11T00:00:00"/>
    <n v="5"/>
    <x v="2"/>
    <n v="6"/>
    <n v="440.00000000000006"/>
    <n v="2640.0000000000005"/>
  </r>
  <r>
    <d v="2009-10-13T00:00:00"/>
    <n v="5"/>
    <x v="2"/>
    <n v="6"/>
    <n v="440.00000000000006"/>
    <n v="2640.0000000000005"/>
  </r>
  <r>
    <d v="2009-10-16T00:00:00"/>
    <n v="1"/>
    <x v="0"/>
    <n v="6"/>
    <n v="110.00000000000001"/>
    <n v="660.00000000000011"/>
  </r>
  <r>
    <d v="2009-10-16T00:00:00"/>
    <n v="4"/>
    <x v="3"/>
    <n v="6"/>
    <n v="330"/>
    <n v="1980"/>
  </r>
  <r>
    <d v="2009-10-17T00:00:00"/>
    <n v="1"/>
    <x v="0"/>
    <n v="6"/>
    <n v="110.00000000000001"/>
    <n v="660.00000000000011"/>
  </r>
  <r>
    <d v="2009-10-17T00:00:00"/>
    <n v="2"/>
    <x v="1"/>
    <n v="6"/>
    <n v="240"/>
    <n v="1440"/>
  </r>
  <r>
    <d v="2009-10-17T00:00:00"/>
    <n v="6"/>
    <x v="5"/>
    <n v="6"/>
    <n v="600"/>
    <n v="3600"/>
  </r>
  <r>
    <d v="2009-10-19T00:00:00"/>
    <n v="5"/>
    <x v="2"/>
    <n v="6"/>
    <n v="440.00000000000006"/>
    <n v="2640.0000000000005"/>
  </r>
  <r>
    <d v="2009-10-20T00:00:00"/>
    <n v="4"/>
    <x v="3"/>
    <n v="6"/>
    <n v="330"/>
    <n v="1980"/>
  </r>
  <r>
    <d v="2009-10-21T00:00:00"/>
    <n v="4"/>
    <x v="3"/>
    <n v="6"/>
    <n v="330"/>
    <n v="1980"/>
  </r>
  <r>
    <d v="2009-10-22T00:00:00"/>
    <n v="4"/>
    <x v="3"/>
    <n v="6"/>
    <n v="330"/>
    <n v="1980"/>
  </r>
  <r>
    <d v="2009-10-22T00:00:00"/>
    <n v="6"/>
    <x v="5"/>
    <n v="6"/>
    <n v="600"/>
    <n v="3600"/>
  </r>
  <r>
    <d v="2009-10-24T00:00:00"/>
    <n v="6"/>
    <x v="5"/>
    <n v="6"/>
    <n v="600"/>
    <n v="3600"/>
  </r>
  <r>
    <d v="2009-10-25T00:00:00"/>
    <n v="1"/>
    <x v="0"/>
    <n v="6"/>
    <n v="110.00000000000001"/>
    <n v="660.00000000000011"/>
  </r>
  <r>
    <d v="2009-10-25T00:00:00"/>
    <n v="6"/>
    <x v="5"/>
    <n v="6"/>
    <n v="600"/>
    <n v="3600"/>
  </r>
  <r>
    <d v="2009-10-26T00:00:00"/>
    <n v="5"/>
    <x v="2"/>
    <n v="6"/>
    <n v="440.00000000000006"/>
    <n v="2640.0000000000005"/>
  </r>
  <r>
    <d v="2009-10-27T00:00:00"/>
    <n v="6"/>
    <x v="5"/>
    <n v="6"/>
    <n v="600"/>
    <n v="3600"/>
  </r>
  <r>
    <d v="2009-10-27T00:00:00"/>
    <n v="3"/>
    <x v="4"/>
    <n v="6"/>
    <n v="165"/>
    <n v="990"/>
  </r>
  <r>
    <d v="2009-10-28T00:00:00"/>
    <n v="5"/>
    <x v="2"/>
    <n v="6"/>
    <n v="440.00000000000006"/>
    <n v="2640.0000000000005"/>
  </r>
  <r>
    <d v="2009-10-01T00:00:00"/>
    <n v="6"/>
    <x v="5"/>
    <n v="7"/>
    <n v="600"/>
    <n v="4200"/>
  </r>
  <r>
    <d v="2009-10-01T00:00:00"/>
    <n v="3"/>
    <x v="4"/>
    <n v="7"/>
    <n v="165"/>
    <n v="1155"/>
  </r>
  <r>
    <d v="2009-10-01T00:00:00"/>
    <n v="6"/>
    <x v="5"/>
    <n v="7"/>
    <n v="600"/>
    <n v="4200"/>
  </r>
  <r>
    <d v="2009-10-02T00:00:00"/>
    <n v="3"/>
    <x v="4"/>
    <n v="7"/>
    <n v="165"/>
    <n v="1155"/>
  </r>
  <r>
    <d v="2009-10-02T00:00:00"/>
    <n v="4"/>
    <x v="3"/>
    <n v="7"/>
    <n v="330"/>
    <n v="2310"/>
  </r>
  <r>
    <d v="2009-10-05T00:00:00"/>
    <n v="4"/>
    <x v="3"/>
    <n v="7"/>
    <n v="330"/>
    <n v="2310"/>
  </r>
  <r>
    <d v="2009-10-06T00:00:00"/>
    <n v="4"/>
    <x v="3"/>
    <n v="7"/>
    <n v="330"/>
    <n v="2310"/>
  </r>
  <r>
    <d v="2009-10-07T00:00:00"/>
    <n v="3"/>
    <x v="4"/>
    <n v="7"/>
    <n v="165"/>
    <n v="1155"/>
  </r>
  <r>
    <d v="2009-10-07T00:00:00"/>
    <n v="2"/>
    <x v="1"/>
    <n v="7"/>
    <n v="240"/>
    <n v="1680"/>
  </r>
  <r>
    <d v="2009-10-08T00:00:00"/>
    <n v="4"/>
    <x v="3"/>
    <n v="7"/>
    <n v="330"/>
    <n v="2310"/>
  </r>
  <r>
    <d v="2009-10-08T00:00:00"/>
    <n v="2"/>
    <x v="1"/>
    <n v="7"/>
    <n v="240"/>
    <n v="1680"/>
  </r>
  <r>
    <d v="2009-10-09T00:00:00"/>
    <n v="1"/>
    <x v="0"/>
    <n v="7"/>
    <n v="110.00000000000001"/>
    <n v="770.00000000000011"/>
  </r>
  <r>
    <d v="2009-10-10T00:00:00"/>
    <n v="1"/>
    <x v="0"/>
    <n v="7"/>
    <n v="110.00000000000001"/>
    <n v="770.00000000000011"/>
  </r>
  <r>
    <d v="2009-10-14T00:00:00"/>
    <n v="4"/>
    <x v="3"/>
    <n v="7"/>
    <n v="330"/>
    <n v="2310"/>
  </r>
  <r>
    <d v="2009-10-14T00:00:00"/>
    <n v="6"/>
    <x v="5"/>
    <n v="7"/>
    <n v="600"/>
    <n v="4200"/>
  </r>
  <r>
    <d v="2009-10-14T00:00:00"/>
    <n v="2"/>
    <x v="1"/>
    <n v="7"/>
    <n v="240"/>
    <n v="1680"/>
  </r>
  <r>
    <d v="2009-10-17T00:00:00"/>
    <n v="4"/>
    <x v="3"/>
    <n v="7"/>
    <n v="330"/>
    <n v="2310"/>
  </r>
  <r>
    <d v="2009-10-19T00:00:00"/>
    <n v="3"/>
    <x v="4"/>
    <n v="7"/>
    <n v="165"/>
    <n v="1155"/>
  </r>
  <r>
    <d v="2009-10-19T00:00:00"/>
    <n v="3"/>
    <x v="4"/>
    <n v="7"/>
    <n v="165"/>
    <n v="1155"/>
  </r>
  <r>
    <d v="2009-10-19T00:00:00"/>
    <n v="3"/>
    <x v="4"/>
    <n v="7"/>
    <n v="165"/>
    <n v="1155"/>
  </r>
  <r>
    <d v="2009-10-20T00:00:00"/>
    <n v="3"/>
    <x v="4"/>
    <n v="7"/>
    <n v="165"/>
    <n v="1155"/>
  </r>
  <r>
    <d v="2009-10-21T00:00:00"/>
    <n v="1"/>
    <x v="0"/>
    <n v="7"/>
    <n v="110.00000000000001"/>
    <n v="770.00000000000011"/>
  </r>
  <r>
    <d v="2009-10-24T00:00:00"/>
    <n v="2"/>
    <x v="1"/>
    <n v="7"/>
    <n v="240"/>
    <n v="1680"/>
  </r>
  <r>
    <d v="2009-10-27T00:00:00"/>
    <n v="6"/>
    <x v="5"/>
    <n v="7"/>
    <n v="600"/>
    <n v="4200"/>
  </r>
  <r>
    <d v="2009-10-28T00:00:00"/>
    <n v="4"/>
    <x v="3"/>
    <n v="7"/>
    <n v="330"/>
    <n v="2310"/>
  </r>
  <r>
    <d v="2009-10-30T00:00:00"/>
    <n v="6"/>
    <x v="5"/>
    <n v="7"/>
    <n v="600"/>
    <n v="4200"/>
  </r>
  <r>
    <d v="2009-10-30T00:00:00"/>
    <n v="2"/>
    <x v="1"/>
    <n v="7"/>
    <n v="240"/>
    <n v="1680"/>
  </r>
  <r>
    <d v="2009-10-02T00:00:00"/>
    <n v="4"/>
    <x v="3"/>
    <n v="8"/>
    <n v="330"/>
    <n v="2640"/>
  </r>
  <r>
    <d v="2009-10-04T00:00:00"/>
    <n v="6"/>
    <x v="5"/>
    <n v="8"/>
    <n v="600"/>
    <n v="4800"/>
  </r>
  <r>
    <d v="2009-10-05T00:00:00"/>
    <n v="2"/>
    <x v="1"/>
    <n v="8"/>
    <n v="240"/>
    <n v="1920"/>
  </r>
  <r>
    <d v="2009-10-06T00:00:00"/>
    <n v="3"/>
    <x v="4"/>
    <n v="8"/>
    <n v="165"/>
    <n v="1320"/>
  </r>
  <r>
    <d v="2009-10-09T00:00:00"/>
    <n v="3"/>
    <x v="4"/>
    <n v="8"/>
    <n v="165"/>
    <n v="1320"/>
  </r>
  <r>
    <d v="2009-10-10T00:00:00"/>
    <n v="3"/>
    <x v="4"/>
    <n v="8"/>
    <n v="165"/>
    <n v="1320"/>
  </r>
  <r>
    <d v="2009-10-11T00:00:00"/>
    <n v="1"/>
    <x v="0"/>
    <n v="8"/>
    <n v="110.00000000000001"/>
    <n v="880.00000000000011"/>
  </r>
  <r>
    <d v="2009-10-11T00:00:00"/>
    <n v="5"/>
    <x v="2"/>
    <n v="8"/>
    <n v="440.00000000000006"/>
    <n v="3520.0000000000005"/>
  </r>
  <r>
    <d v="2009-10-11T00:00:00"/>
    <n v="3"/>
    <x v="4"/>
    <n v="8"/>
    <n v="165"/>
    <n v="1320"/>
  </r>
  <r>
    <d v="2009-10-11T00:00:00"/>
    <n v="4"/>
    <x v="3"/>
    <n v="8"/>
    <n v="330"/>
    <n v="2640"/>
  </r>
  <r>
    <d v="2009-10-13T00:00:00"/>
    <n v="1"/>
    <x v="0"/>
    <n v="8"/>
    <n v="110.00000000000001"/>
    <n v="880.00000000000011"/>
  </r>
  <r>
    <d v="2009-10-14T00:00:00"/>
    <n v="4"/>
    <x v="3"/>
    <n v="8"/>
    <n v="330"/>
    <n v="2640"/>
  </r>
  <r>
    <d v="2009-10-14T00:00:00"/>
    <n v="5"/>
    <x v="2"/>
    <n v="8"/>
    <n v="440.00000000000006"/>
    <n v="3520.0000000000005"/>
  </r>
  <r>
    <d v="2009-10-15T00:00:00"/>
    <n v="3"/>
    <x v="4"/>
    <n v="8"/>
    <n v="165"/>
    <n v="1320"/>
  </r>
  <r>
    <d v="2009-10-15T00:00:00"/>
    <n v="2"/>
    <x v="1"/>
    <n v="8"/>
    <n v="240"/>
    <n v="1920"/>
  </r>
  <r>
    <d v="2009-10-16T00:00:00"/>
    <n v="2"/>
    <x v="1"/>
    <n v="8"/>
    <n v="240"/>
    <n v="1920"/>
  </r>
  <r>
    <d v="2009-10-17T00:00:00"/>
    <n v="5"/>
    <x v="2"/>
    <n v="8"/>
    <n v="440.00000000000006"/>
    <n v="3520.0000000000005"/>
  </r>
  <r>
    <d v="2009-10-19T00:00:00"/>
    <n v="4"/>
    <x v="3"/>
    <n v="8"/>
    <n v="330"/>
    <n v="2640"/>
  </r>
  <r>
    <d v="2009-10-19T00:00:00"/>
    <n v="2"/>
    <x v="1"/>
    <n v="8"/>
    <n v="240"/>
    <n v="1920"/>
  </r>
  <r>
    <d v="2009-10-20T00:00:00"/>
    <n v="1"/>
    <x v="0"/>
    <n v="8"/>
    <n v="110.00000000000001"/>
    <n v="880.00000000000011"/>
  </r>
  <r>
    <d v="2009-10-22T00:00:00"/>
    <n v="5"/>
    <x v="2"/>
    <n v="8"/>
    <n v="440.00000000000006"/>
    <n v="3520.0000000000005"/>
  </r>
  <r>
    <d v="2009-10-22T00:00:00"/>
    <n v="5"/>
    <x v="2"/>
    <n v="8"/>
    <n v="440.00000000000006"/>
    <n v="3520.0000000000005"/>
  </r>
  <r>
    <d v="2009-10-23T00:00:00"/>
    <n v="3"/>
    <x v="4"/>
    <n v="8"/>
    <n v="165"/>
    <n v="1320"/>
  </r>
  <r>
    <d v="2009-10-23T00:00:00"/>
    <n v="3"/>
    <x v="4"/>
    <n v="8"/>
    <n v="165"/>
    <n v="1320"/>
  </r>
  <r>
    <d v="2009-10-24T00:00:00"/>
    <n v="5"/>
    <x v="2"/>
    <n v="8"/>
    <n v="440.00000000000006"/>
    <n v="3520.0000000000005"/>
  </r>
  <r>
    <d v="2009-10-25T00:00:00"/>
    <n v="5"/>
    <x v="2"/>
    <n v="8"/>
    <n v="440.00000000000006"/>
    <n v="3520.0000000000005"/>
  </r>
  <r>
    <d v="2009-10-27T00:00:00"/>
    <n v="4"/>
    <x v="3"/>
    <n v="8"/>
    <n v="330"/>
    <n v="2640"/>
  </r>
  <r>
    <d v="2009-10-27T00:00:00"/>
    <n v="2"/>
    <x v="1"/>
    <n v="8"/>
    <n v="240"/>
    <n v="1920"/>
  </r>
  <r>
    <d v="2009-10-28T00:00:00"/>
    <n v="3"/>
    <x v="4"/>
    <n v="8"/>
    <n v="165"/>
    <n v="1320"/>
  </r>
  <r>
    <d v="2009-10-29T00:00:00"/>
    <n v="4"/>
    <x v="3"/>
    <n v="8"/>
    <n v="330"/>
    <n v="2640"/>
  </r>
  <r>
    <d v="2009-10-29T00:00:00"/>
    <n v="2"/>
    <x v="1"/>
    <n v="8"/>
    <n v="240"/>
    <n v="1920"/>
  </r>
  <r>
    <d v="2009-10-01T00:00:00"/>
    <n v="5"/>
    <x v="2"/>
    <n v="9"/>
    <n v="440.00000000000006"/>
    <n v="3960.0000000000005"/>
  </r>
  <r>
    <d v="2009-10-02T00:00:00"/>
    <n v="3"/>
    <x v="4"/>
    <n v="9"/>
    <n v="165"/>
    <n v="1485"/>
  </r>
  <r>
    <d v="2009-10-03T00:00:00"/>
    <n v="2"/>
    <x v="1"/>
    <n v="9"/>
    <n v="240"/>
    <n v="2160"/>
  </r>
  <r>
    <d v="2009-10-07T00:00:00"/>
    <n v="4"/>
    <x v="3"/>
    <n v="9"/>
    <n v="330"/>
    <n v="2970"/>
  </r>
  <r>
    <d v="2009-10-08T00:00:00"/>
    <n v="2"/>
    <x v="1"/>
    <n v="9"/>
    <n v="240"/>
    <n v="2160"/>
  </r>
  <r>
    <d v="2009-10-10T00:00:00"/>
    <n v="5"/>
    <x v="2"/>
    <n v="9"/>
    <n v="440.00000000000006"/>
    <n v="3960.0000000000005"/>
  </r>
  <r>
    <d v="2009-10-10T00:00:00"/>
    <n v="5"/>
    <x v="2"/>
    <n v="9"/>
    <n v="440.00000000000006"/>
    <n v="3960.0000000000005"/>
  </r>
  <r>
    <d v="2009-10-11T00:00:00"/>
    <n v="1"/>
    <x v="0"/>
    <n v="9"/>
    <n v="110.00000000000001"/>
    <n v="990.00000000000011"/>
  </r>
  <r>
    <d v="2009-10-12T00:00:00"/>
    <n v="2"/>
    <x v="1"/>
    <n v="9"/>
    <n v="240"/>
    <n v="2160"/>
  </r>
  <r>
    <d v="2009-10-14T00:00:00"/>
    <n v="2"/>
    <x v="1"/>
    <n v="9"/>
    <n v="240"/>
    <n v="2160"/>
  </r>
  <r>
    <d v="2009-10-14T00:00:00"/>
    <n v="3"/>
    <x v="4"/>
    <n v="9"/>
    <n v="165"/>
    <n v="1485"/>
  </r>
  <r>
    <d v="2009-10-14T00:00:00"/>
    <n v="5"/>
    <x v="2"/>
    <n v="9"/>
    <n v="440.00000000000006"/>
    <n v="3960.0000000000005"/>
  </r>
  <r>
    <d v="2009-10-18T00:00:00"/>
    <n v="5"/>
    <x v="2"/>
    <n v="9"/>
    <n v="440.00000000000006"/>
    <n v="3960.0000000000005"/>
  </r>
  <r>
    <d v="2009-10-19T00:00:00"/>
    <n v="6"/>
    <x v="5"/>
    <n v="9"/>
    <n v="600"/>
    <n v="5400"/>
  </r>
  <r>
    <d v="2009-10-20T00:00:00"/>
    <n v="6"/>
    <x v="5"/>
    <n v="9"/>
    <n v="600"/>
    <n v="5400"/>
  </r>
  <r>
    <d v="2009-10-22T00:00:00"/>
    <n v="4"/>
    <x v="3"/>
    <n v="9"/>
    <n v="330"/>
    <n v="2970"/>
  </r>
  <r>
    <d v="2009-10-24T00:00:00"/>
    <n v="4"/>
    <x v="3"/>
    <n v="9"/>
    <n v="330"/>
    <n v="2970"/>
  </r>
  <r>
    <d v="2009-10-25T00:00:00"/>
    <n v="3"/>
    <x v="4"/>
    <n v="9"/>
    <n v="165"/>
    <n v="1485"/>
  </r>
  <r>
    <d v="2009-10-25T00:00:00"/>
    <n v="2"/>
    <x v="1"/>
    <n v="9"/>
    <n v="240"/>
    <n v="2160"/>
  </r>
  <r>
    <d v="2009-10-25T00:00:00"/>
    <n v="3"/>
    <x v="4"/>
    <n v="9"/>
    <n v="165"/>
    <n v="1485"/>
  </r>
  <r>
    <d v="2009-10-26T00:00:00"/>
    <n v="6"/>
    <x v="5"/>
    <n v="9"/>
    <n v="600"/>
    <n v="5400"/>
  </r>
  <r>
    <d v="2009-10-27T00:00:00"/>
    <n v="3"/>
    <x v="4"/>
    <n v="9"/>
    <n v="165"/>
    <n v="1485"/>
  </r>
  <r>
    <d v="2009-10-27T00:00:00"/>
    <n v="1"/>
    <x v="0"/>
    <n v="9"/>
    <n v="110.00000000000001"/>
    <n v="990.00000000000011"/>
  </r>
  <r>
    <d v="2009-10-28T00:00:00"/>
    <n v="5"/>
    <x v="2"/>
    <n v="9"/>
    <n v="440.00000000000006"/>
    <n v="3960.0000000000005"/>
  </r>
  <r>
    <d v="2009-10-28T00:00:00"/>
    <n v="5"/>
    <x v="2"/>
    <n v="9"/>
    <n v="440.00000000000006"/>
    <n v="3960.0000000000005"/>
  </r>
  <r>
    <d v="2009-10-29T00:00:00"/>
    <n v="5"/>
    <x v="2"/>
    <n v="9"/>
    <n v="440.00000000000006"/>
    <n v="3960.0000000000005"/>
  </r>
  <r>
    <d v="2009-10-30T00:00:00"/>
    <n v="5"/>
    <x v="2"/>
    <n v="9"/>
    <n v="440.00000000000006"/>
    <n v="3960.0000000000005"/>
  </r>
  <r>
    <d v="2009-10-02T00:00:00"/>
    <n v="3"/>
    <x v="4"/>
    <n v="10"/>
    <n v="165"/>
    <n v="1650"/>
  </r>
  <r>
    <d v="2009-10-04T00:00:00"/>
    <n v="5"/>
    <x v="2"/>
    <n v="10"/>
    <n v="440.00000000000006"/>
    <n v="4400.0000000000009"/>
  </r>
  <r>
    <d v="2009-10-05T00:00:00"/>
    <n v="4"/>
    <x v="3"/>
    <n v="10"/>
    <n v="330"/>
    <n v="3300"/>
  </r>
  <r>
    <d v="2009-10-05T00:00:00"/>
    <n v="2"/>
    <x v="1"/>
    <n v="10"/>
    <n v="240"/>
    <n v="2400"/>
  </r>
  <r>
    <d v="2009-10-07T00:00:00"/>
    <n v="4"/>
    <x v="3"/>
    <n v="10"/>
    <n v="330"/>
    <n v="3300"/>
  </r>
  <r>
    <d v="2009-10-08T00:00:00"/>
    <n v="6"/>
    <x v="5"/>
    <n v="10"/>
    <n v="600"/>
    <n v="6000"/>
  </r>
  <r>
    <d v="2009-10-09T00:00:00"/>
    <n v="2"/>
    <x v="1"/>
    <n v="10"/>
    <n v="240"/>
    <n v="2400"/>
  </r>
  <r>
    <d v="2009-10-11T00:00:00"/>
    <n v="3"/>
    <x v="4"/>
    <n v="10"/>
    <n v="165"/>
    <n v="1650"/>
  </r>
  <r>
    <d v="2009-10-11T00:00:00"/>
    <n v="5"/>
    <x v="2"/>
    <n v="10"/>
    <n v="440.00000000000006"/>
    <n v="4400.0000000000009"/>
  </r>
  <r>
    <d v="2009-10-13T00:00:00"/>
    <n v="4"/>
    <x v="3"/>
    <n v="10"/>
    <n v="330"/>
    <n v="3300"/>
  </r>
  <r>
    <d v="2009-10-14T00:00:00"/>
    <n v="4"/>
    <x v="3"/>
    <n v="10"/>
    <n v="330"/>
    <n v="3300"/>
  </r>
  <r>
    <d v="2009-10-14T00:00:00"/>
    <n v="2"/>
    <x v="1"/>
    <n v="10"/>
    <n v="240"/>
    <n v="2400"/>
  </r>
  <r>
    <d v="2009-10-15T00:00:00"/>
    <n v="1"/>
    <x v="0"/>
    <n v="10"/>
    <n v="110.00000000000001"/>
    <n v="1100.0000000000002"/>
  </r>
  <r>
    <d v="2009-10-15T00:00:00"/>
    <n v="6"/>
    <x v="5"/>
    <n v="10"/>
    <n v="600"/>
    <n v="6000"/>
  </r>
  <r>
    <d v="2009-10-19T00:00:00"/>
    <n v="1"/>
    <x v="0"/>
    <n v="10"/>
    <n v="110.00000000000001"/>
    <n v="1100.0000000000002"/>
  </r>
  <r>
    <d v="2009-10-19T00:00:00"/>
    <n v="3"/>
    <x v="4"/>
    <n v="10"/>
    <n v="165"/>
    <n v="1650"/>
  </r>
  <r>
    <d v="2009-10-20T00:00:00"/>
    <n v="5"/>
    <x v="2"/>
    <n v="10"/>
    <n v="440.00000000000006"/>
    <n v="4400.0000000000009"/>
  </r>
  <r>
    <d v="2009-10-20T00:00:00"/>
    <n v="6"/>
    <x v="5"/>
    <n v="10"/>
    <n v="600"/>
    <n v="6000"/>
  </r>
  <r>
    <d v="2009-10-21T00:00:00"/>
    <n v="1"/>
    <x v="0"/>
    <n v="10"/>
    <n v="110.00000000000001"/>
    <n v="1100.0000000000002"/>
  </r>
  <r>
    <d v="2009-10-23T00:00:00"/>
    <n v="3"/>
    <x v="4"/>
    <n v="10"/>
    <n v="165"/>
    <n v="1650"/>
  </r>
  <r>
    <d v="2009-10-24T00:00:00"/>
    <n v="5"/>
    <x v="2"/>
    <n v="10"/>
    <n v="440.00000000000006"/>
    <n v="4400.0000000000009"/>
  </r>
  <r>
    <d v="2009-10-24T00:00:00"/>
    <n v="6"/>
    <x v="5"/>
    <n v="10"/>
    <n v="600"/>
    <n v="6000"/>
  </r>
  <r>
    <d v="2009-10-25T00:00:00"/>
    <n v="4"/>
    <x v="3"/>
    <n v="10"/>
    <n v="330"/>
    <n v="3300"/>
  </r>
  <r>
    <d v="2009-10-25T00:00:00"/>
    <n v="1"/>
    <x v="0"/>
    <n v="10"/>
    <n v="110.00000000000001"/>
    <n v="1100.0000000000002"/>
  </r>
  <r>
    <d v="2009-10-25T00:00:00"/>
    <n v="6"/>
    <x v="5"/>
    <n v="10"/>
    <n v="600"/>
    <n v="6000"/>
  </r>
  <r>
    <d v="2009-10-26T00:00:00"/>
    <n v="6"/>
    <x v="5"/>
    <n v="10"/>
    <n v="600"/>
    <n v="6000"/>
  </r>
  <r>
    <d v="2009-10-27T00:00:00"/>
    <n v="6"/>
    <x v="5"/>
    <n v="10"/>
    <n v="600"/>
    <n v="6000"/>
  </r>
  <r>
    <d v="2009-10-27T00:00:00"/>
    <n v="1"/>
    <x v="0"/>
    <n v="10"/>
    <n v="110.00000000000001"/>
    <n v="1100.0000000000002"/>
  </r>
  <r>
    <d v="2009-10-28T00:00:00"/>
    <n v="6"/>
    <x v="5"/>
    <n v="10"/>
    <n v="600"/>
    <n v="6000"/>
  </r>
  <r>
    <d v="2009-10-29T00:00:00"/>
    <n v="4"/>
    <x v="3"/>
    <n v="10"/>
    <n v="330"/>
    <n v="3300"/>
  </r>
  <r>
    <d v="2009-10-29T00:00:00"/>
    <n v="3"/>
    <x v="4"/>
    <n v="10"/>
    <n v="165"/>
    <n v="16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5" indent="0" outline="1" outlineData="1" multipleFieldFilters="0">
  <location ref="B22:C29" firstHeaderRow="1" firstDataRow="1" firstDataCol="1"/>
  <pivotFields count="6">
    <pivotField numFmtId="14" showAll="0"/>
    <pivotField showAll="0"/>
    <pivotField axis="axisRow" showAll="0">
      <items count="7">
        <item x="3"/>
        <item x="4"/>
        <item x="2"/>
        <item x="5"/>
        <item x="1"/>
        <item x="0"/>
        <item t="default"/>
      </items>
    </pivotField>
    <pivotField dataField="1"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Сумма по полю Количество" fld="3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.xml"/><Relationship Id="rId18" Type="http://schemas.openxmlformats.org/officeDocument/2006/relationships/image" Target="../media/image9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6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5.emf"/><Relationship Id="rId19" Type="http://schemas.openxmlformats.org/officeDocument/2006/relationships/control" Target="../activeX/activeX9.xml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2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trlProp" Target="../ctrlProps/ctrlProp3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20.xml"/><Relationship Id="rId12" Type="http://schemas.openxmlformats.org/officeDocument/2006/relationships/image" Target="../media/image24.emf"/><Relationship Id="rId2" Type="http://schemas.openxmlformats.org/officeDocument/2006/relationships/externalLinkPath" Target="file:///E:\&#1055;&#1088;&#1086;&#1090;&#1086;&#1090;&#1080;&#1087;&#1080;&#1088;&#1086;&#1074;&#1072;&#1085;&#1080;&#1077;%20&#1048;&#1057;1.xlsm" TargetMode="Externa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21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9.xml"/><Relationship Id="rId10" Type="http://schemas.openxmlformats.org/officeDocument/2006/relationships/image" Target="../media/image23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M10"/>
  <sheetViews>
    <sheetView showGridLines="0" workbookViewId="0">
      <selection activeCell="S10" sqref="S10"/>
    </sheetView>
  </sheetViews>
  <sheetFormatPr defaultRowHeight="15" x14ac:dyDescent="0.25"/>
  <sheetData>
    <row r="10" spans="13:13" x14ac:dyDescent="0.25">
      <c r="M10" t="s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N10" sqref="N10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" r:id="rId3" name="CommandButton9">
          <controlPr defaultSize="0" autoLine="0" r:id="rId4">
            <anchor moveWithCells="1">
              <from>
                <xdr:col>2</xdr:col>
                <xdr:colOff>0</xdr:colOff>
                <xdr:row>35</xdr:row>
                <xdr:rowOff>180975</xdr:rowOff>
              </from>
              <to>
                <xdr:col>5</xdr:col>
                <xdr:colOff>0</xdr:colOff>
                <xdr:row>37</xdr:row>
                <xdr:rowOff>180975</xdr:rowOff>
              </to>
            </anchor>
          </controlPr>
        </control>
      </mc:Choice>
      <mc:Fallback>
        <control shapeId="2058" r:id="rId3" name="CommandButton9"/>
      </mc:Fallback>
    </mc:AlternateContent>
    <mc:AlternateContent xmlns:mc="http://schemas.openxmlformats.org/markup-compatibility/2006">
      <mc:Choice Requires="x14">
        <control shapeId="2057" r:id="rId5" name="CommandButton8">
          <controlPr defaultSize="0" autoLine="0" r:id="rId6">
            <anchor moveWithCells="1">
              <from>
                <xdr:col>1</xdr:col>
                <xdr:colOff>600075</xdr:colOff>
                <xdr:row>31</xdr:row>
                <xdr:rowOff>171450</xdr:rowOff>
              </from>
              <to>
                <xdr:col>4</xdr:col>
                <xdr:colOff>600075</xdr:colOff>
                <xdr:row>33</xdr:row>
                <xdr:rowOff>180975</xdr:rowOff>
              </to>
            </anchor>
          </controlPr>
        </control>
      </mc:Choice>
      <mc:Fallback>
        <control shapeId="2057" r:id="rId5" name="CommandButton8"/>
      </mc:Fallback>
    </mc:AlternateContent>
    <mc:AlternateContent xmlns:mc="http://schemas.openxmlformats.org/markup-compatibility/2006">
      <mc:Choice Requires="x14">
        <control shapeId="2056" r:id="rId7" name="CommandButton7">
          <controlPr defaultSize="0" autoLine="0" r:id="rId8">
            <anchor moveWithCells="1">
              <from>
                <xdr:col>2</xdr:col>
                <xdr:colOff>0</xdr:colOff>
                <xdr:row>27</xdr:row>
                <xdr:rowOff>180975</xdr:rowOff>
              </from>
              <to>
                <xdr:col>4</xdr:col>
                <xdr:colOff>600075</xdr:colOff>
                <xdr:row>30</xdr:row>
                <xdr:rowOff>9525</xdr:rowOff>
              </to>
            </anchor>
          </controlPr>
        </control>
      </mc:Choice>
      <mc:Fallback>
        <control shapeId="2056" r:id="rId7" name="CommandButton7"/>
      </mc:Fallback>
    </mc:AlternateContent>
    <mc:AlternateContent xmlns:mc="http://schemas.openxmlformats.org/markup-compatibility/2006">
      <mc:Choice Requires="x14">
        <control shapeId="2055" r:id="rId9" name="CommandButton6">
          <controlPr defaultSize="0" autoLine="0" r:id="rId10">
            <anchor moveWithCells="1">
              <from>
                <xdr:col>2</xdr:col>
                <xdr:colOff>0</xdr:colOff>
                <xdr:row>23</xdr:row>
                <xdr:rowOff>180975</xdr:rowOff>
              </from>
              <to>
                <xdr:col>5</xdr:col>
                <xdr:colOff>9525</xdr:colOff>
                <xdr:row>26</xdr:row>
                <xdr:rowOff>0</xdr:rowOff>
              </to>
            </anchor>
          </controlPr>
        </control>
      </mc:Choice>
      <mc:Fallback>
        <control shapeId="2055" r:id="rId9" name="CommandButton6"/>
      </mc:Fallback>
    </mc:AlternateContent>
    <mc:AlternateContent xmlns:mc="http://schemas.openxmlformats.org/markup-compatibility/2006">
      <mc:Choice Requires="x14">
        <control shapeId="2054" r:id="rId11" name="CommandButton5">
          <controlPr defaultSize="0" autoLine="0" r:id="rId12">
            <anchor moveWithCells="1">
              <from>
                <xdr:col>2</xdr:col>
                <xdr:colOff>19050</xdr:colOff>
                <xdr:row>20</xdr:row>
                <xdr:rowOff>0</xdr:rowOff>
              </from>
              <to>
                <xdr:col>5</xdr:col>
                <xdr:colOff>9525</xdr:colOff>
                <xdr:row>22</xdr:row>
                <xdr:rowOff>0</xdr:rowOff>
              </to>
            </anchor>
          </controlPr>
        </control>
      </mc:Choice>
      <mc:Fallback>
        <control shapeId="2054" r:id="rId11" name="CommandButton5"/>
      </mc:Fallback>
    </mc:AlternateContent>
    <mc:AlternateContent xmlns:mc="http://schemas.openxmlformats.org/markup-compatibility/2006">
      <mc:Choice Requires="x14">
        <control shapeId="2053" r:id="rId13" name="CommandButton4">
          <controlPr defaultSize="0" autoLine="0" r:id="rId14">
            <anchor moveWithCells="1">
              <from>
                <xdr:col>1</xdr:col>
                <xdr:colOff>600075</xdr:colOff>
                <xdr:row>16</xdr:row>
                <xdr:rowOff>9525</xdr:rowOff>
              </from>
              <to>
                <xdr:col>5</xdr:col>
                <xdr:colOff>0</xdr:colOff>
                <xdr:row>18</xdr:row>
                <xdr:rowOff>19050</xdr:rowOff>
              </to>
            </anchor>
          </controlPr>
        </control>
      </mc:Choice>
      <mc:Fallback>
        <control shapeId="2053" r:id="rId13" name="CommandButton4"/>
      </mc:Fallback>
    </mc:AlternateContent>
    <mc:AlternateContent xmlns:mc="http://schemas.openxmlformats.org/markup-compatibility/2006">
      <mc:Choice Requires="x14">
        <control shapeId="2052" r:id="rId15" name="CommandButton3">
          <controlPr autoLine="0" r:id="rId16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4</xdr:col>
                <xdr:colOff>590550</xdr:colOff>
                <xdr:row>14</xdr:row>
                <xdr:rowOff>0</xdr:rowOff>
              </to>
            </anchor>
          </controlPr>
        </control>
      </mc:Choice>
      <mc:Fallback>
        <control shapeId="2052" r:id="rId15" name="CommandButton3"/>
      </mc:Fallback>
    </mc:AlternateContent>
    <mc:AlternateContent xmlns:mc="http://schemas.openxmlformats.org/markup-compatibility/2006">
      <mc:Choice Requires="x14">
        <control shapeId="2051" r:id="rId17" name="CommandButton2">
          <controlPr autoLine="0" r:id="rId18">
            <anchor moveWithCells="1">
              <from>
                <xdr:col>2</xdr:col>
                <xdr:colOff>0</xdr:colOff>
                <xdr:row>7</xdr:row>
                <xdr:rowOff>180975</xdr:rowOff>
              </from>
              <to>
                <xdr:col>5</xdr:col>
                <xdr:colOff>0</xdr:colOff>
                <xdr:row>9</xdr:row>
                <xdr:rowOff>180975</xdr:rowOff>
              </to>
            </anchor>
          </controlPr>
        </control>
      </mc:Choice>
      <mc:Fallback>
        <control shapeId="2051" r:id="rId17" name="CommandButton2"/>
      </mc:Fallback>
    </mc:AlternateContent>
    <mc:AlternateContent xmlns:mc="http://schemas.openxmlformats.org/markup-compatibility/2006">
      <mc:Choice Requires="x14">
        <control shapeId="2050" r:id="rId19" name="CommandButton1">
          <controlPr autoLine="0" r:id="rId20">
            <anchor mov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050" r:id="rId19" name="CommandButton1"/>
      </mc:Fallback>
    </mc:AlternateContent>
    <mc:AlternateContent xmlns:mc="http://schemas.openxmlformats.org/markup-compatibility/2006">
      <mc:Choice Requires="x14">
        <control shapeId="2059" r:id="rId21" name="CommandButton10">
          <controlPr defaultSize="0" autoLine="0" r:id="rId22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11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59" r:id="rId21" name="CommandButton1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H8"/>
  <sheetViews>
    <sheetView workbookViewId="0">
      <selection activeCell="K11" sqref="K11"/>
    </sheetView>
  </sheetViews>
  <sheetFormatPr defaultRowHeight="15" x14ac:dyDescent="0.25"/>
  <cols>
    <col min="2" max="2" width="13.7109375" customWidth="1"/>
    <col min="3" max="3" width="17.5703125" customWidth="1"/>
    <col min="5" max="5" width="14.85546875" customWidth="1"/>
    <col min="7" max="7" width="12.85546875" customWidth="1"/>
    <col min="8" max="8" width="18" customWidth="1"/>
  </cols>
  <sheetData>
    <row r="1" spans="2:8" ht="15.75" thickBot="1" x14ac:dyDescent="0.3"/>
    <row r="2" spans="2:8" ht="32.25" thickBot="1" x14ac:dyDescent="0.3">
      <c r="B2" s="5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66" t="s">
        <v>6</v>
      </c>
      <c r="H2" s="69" t="s">
        <v>66</v>
      </c>
    </row>
    <row r="3" spans="2:8" x14ac:dyDescent="0.25">
      <c r="B3" s="3">
        <v>1</v>
      </c>
      <c r="C3" s="3" t="s">
        <v>7</v>
      </c>
      <c r="D3" s="3">
        <v>2</v>
      </c>
      <c r="E3" s="3">
        <v>100</v>
      </c>
      <c r="F3" s="4">
        <v>0.1</v>
      </c>
      <c r="G3" s="67">
        <v>1</v>
      </c>
      <c r="H3" s="39" t="s">
        <v>67</v>
      </c>
    </row>
    <row r="4" spans="2:8" x14ac:dyDescent="0.25">
      <c r="B4" s="1">
        <v>2</v>
      </c>
      <c r="C4" s="1" t="s">
        <v>8</v>
      </c>
      <c r="D4" s="1">
        <v>1</v>
      </c>
      <c r="E4" s="1">
        <v>200</v>
      </c>
      <c r="F4" s="2">
        <v>0.2</v>
      </c>
      <c r="G4" s="68">
        <v>1</v>
      </c>
      <c r="H4" s="27" t="s">
        <v>68</v>
      </c>
    </row>
    <row r="5" spans="2:8" x14ac:dyDescent="0.25">
      <c r="B5" s="1">
        <v>3</v>
      </c>
      <c r="C5" s="1" t="s">
        <v>9</v>
      </c>
      <c r="D5" s="1">
        <v>2</v>
      </c>
      <c r="E5" s="1">
        <v>150</v>
      </c>
      <c r="F5" s="2">
        <v>0.1</v>
      </c>
      <c r="G5" s="68">
        <v>2</v>
      </c>
      <c r="H5" s="27" t="s">
        <v>69</v>
      </c>
    </row>
    <row r="6" spans="2:8" x14ac:dyDescent="0.25">
      <c r="B6" s="1">
        <v>4</v>
      </c>
      <c r="C6" s="1" t="s">
        <v>10</v>
      </c>
      <c r="D6" s="1">
        <v>2</v>
      </c>
      <c r="E6" s="1">
        <v>300</v>
      </c>
      <c r="F6" s="2">
        <v>0.1</v>
      </c>
      <c r="G6" s="68">
        <v>3</v>
      </c>
      <c r="H6" s="27" t="s">
        <v>70</v>
      </c>
    </row>
    <row r="7" spans="2:8" x14ac:dyDescent="0.25">
      <c r="B7" s="1">
        <v>5</v>
      </c>
      <c r="C7" s="1" t="s">
        <v>11</v>
      </c>
      <c r="D7" s="1">
        <v>2</v>
      </c>
      <c r="E7" s="1">
        <v>400</v>
      </c>
      <c r="F7" s="2">
        <v>0.1</v>
      </c>
      <c r="G7" s="68">
        <v>4</v>
      </c>
      <c r="H7" s="27" t="s">
        <v>71</v>
      </c>
    </row>
    <row r="8" spans="2:8" x14ac:dyDescent="0.25">
      <c r="B8" s="1">
        <v>6</v>
      </c>
      <c r="C8" s="1" t="s">
        <v>12</v>
      </c>
      <c r="D8" s="1">
        <v>1</v>
      </c>
      <c r="E8" s="1">
        <v>500</v>
      </c>
      <c r="F8" s="2">
        <v>0.2</v>
      </c>
      <c r="G8" s="68">
        <v>4</v>
      </c>
      <c r="H8" s="27" t="s">
        <v>72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600075</xdr:colOff>
                <xdr:row>11</xdr:row>
                <xdr:rowOff>180975</xdr:rowOff>
              </from>
              <to>
                <xdr:col>2</xdr:col>
                <xdr:colOff>295275</xdr:colOff>
                <xdr:row>14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Y300"/>
  <sheetViews>
    <sheetView tabSelected="1" topLeftCell="B1" workbookViewId="0">
      <selection activeCell="C3" sqref="C3"/>
    </sheetView>
  </sheetViews>
  <sheetFormatPr defaultRowHeight="15" x14ac:dyDescent="0.25"/>
  <cols>
    <col min="2" max="2" width="15.28515625" customWidth="1"/>
    <col min="3" max="3" width="13" customWidth="1"/>
    <col min="4" max="4" width="16.7109375" customWidth="1"/>
    <col min="5" max="5" width="13" customWidth="1"/>
    <col min="11" max="11" width="8.5703125" customWidth="1"/>
    <col min="12" max="12" width="9.5703125" customWidth="1"/>
    <col min="13" max="13" width="9.7109375" customWidth="1"/>
    <col min="14" max="14" width="14.28515625" customWidth="1"/>
    <col min="15" max="15" width="15.140625" customWidth="1"/>
    <col min="16" max="16" width="11.7109375" customWidth="1"/>
  </cols>
  <sheetData>
    <row r="1" spans="2:25" ht="20.25" customHeight="1" thickBot="1" x14ac:dyDescent="0.3"/>
    <row r="2" spans="2:25" ht="18" customHeight="1" thickBot="1" x14ac:dyDescent="0.3">
      <c r="B2" s="25" t="s">
        <v>13</v>
      </c>
      <c r="C2" s="26" t="s">
        <v>1</v>
      </c>
      <c r="D2" s="26" t="s">
        <v>2</v>
      </c>
      <c r="E2" s="26" t="s">
        <v>14</v>
      </c>
      <c r="F2" s="26" t="s">
        <v>15</v>
      </c>
      <c r="G2" s="26" t="s">
        <v>16</v>
      </c>
      <c r="L2" s="16"/>
      <c r="M2" s="17"/>
      <c r="N2" s="17"/>
      <c r="O2" s="17"/>
      <c r="P2" s="17"/>
      <c r="Q2" s="17"/>
      <c r="R2" s="17"/>
      <c r="S2" s="18"/>
    </row>
    <row r="3" spans="2:25" ht="17.25" customHeight="1" x14ac:dyDescent="0.25">
      <c r="B3" s="7">
        <v>40090</v>
      </c>
      <c r="C3" s="8">
        <v>1</v>
      </c>
      <c r="D3" t="str">
        <f t="shared" ref="D3:D66" si="0">VLOOKUP(C3,Справочник_товары,2)</f>
        <v>Лапти липовые</v>
      </c>
      <c r="E3">
        <v>1</v>
      </c>
      <c r="F3">
        <f t="shared" ref="F3:F66" si="1" xml:space="preserve"> VLOOKUP(C3, Справочник_товары,4) * (1 + VLOOKUP(C3, Справочник_товары,5))</f>
        <v>110.00000000000001</v>
      </c>
      <c r="G3">
        <f t="shared" ref="G3:G66" si="2" xml:space="preserve"> E3 * F3</f>
        <v>110.00000000000001</v>
      </c>
      <c r="L3" s="24" t="s">
        <v>18</v>
      </c>
      <c r="M3" s="15"/>
      <c r="N3" s="56"/>
      <c r="O3" s="15"/>
      <c r="P3" s="15"/>
      <c r="Q3" s="15"/>
      <c r="R3" s="15"/>
      <c r="S3" s="20"/>
      <c r="Y3" t="s">
        <v>13</v>
      </c>
    </row>
    <row r="4" spans="2:25" ht="18.75" customHeight="1" thickBot="1" x14ac:dyDescent="0.3">
      <c r="B4" s="7">
        <v>40091</v>
      </c>
      <c r="C4" s="8">
        <v>1</v>
      </c>
      <c r="D4" t="str">
        <f t="shared" si="0"/>
        <v>Лапти липовые</v>
      </c>
      <c r="E4">
        <v>1</v>
      </c>
      <c r="F4">
        <f t="shared" si="1"/>
        <v>110.00000000000001</v>
      </c>
      <c r="G4">
        <f t="shared" si="2"/>
        <v>110.00000000000001</v>
      </c>
      <c r="L4" s="21"/>
      <c r="M4" s="22"/>
      <c r="O4" s="22"/>
      <c r="P4" s="22"/>
      <c r="Q4" s="22"/>
      <c r="R4" s="22"/>
      <c r="S4" s="23"/>
      <c r="Y4" t="s">
        <v>1</v>
      </c>
    </row>
    <row r="5" spans="2:25" ht="14.25" customHeight="1" x14ac:dyDescent="0.25">
      <c r="B5" s="7">
        <v>40093</v>
      </c>
      <c r="C5" s="8">
        <v>2</v>
      </c>
      <c r="D5" t="str">
        <f t="shared" si="0"/>
        <v>Лапти дубовые</v>
      </c>
      <c r="E5">
        <v>1</v>
      </c>
      <c r="F5">
        <f t="shared" si="1"/>
        <v>240</v>
      </c>
      <c r="G5">
        <f t="shared" si="2"/>
        <v>240</v>
      </c>
      <c r="L5" s="16"/>
      <c r="M5" s="17"/>
      <c r="N5" s="17"/>
      <c r="O5" s="17"/>
      <c r="P5" s="17"/>
      <c r="Q5" s="17"/>
      <c r="R5" s="17"/>
      <c r="S5" s="18"/>
      <c r="Y5" t="s">
        <v>2</v>
      </c>
    </row>
    <row r="6" spans="2:25" ht="15.75" customHeight="1" x14ac:dyDescent="0.25">
      <c r="B6" s="7">
        <v>40095</v>
      </c>
      <c r="C6" s="8">
        <v>5</v>
      </c>
      <c r="D6" t="str">
        <f t="shared" si="0"/>
        <v>Кепка a ’la Lenin</v>
      </c>
      <c r="E6">
        <v>1</v>
      </c>
      <c r="F6">
        <f t="shared" si="1"/>
        <v>440.00000000000006</v>
      </c>
      <c r="G6">
        <f t="shared" si="2"/>
        <v>440.00000000000006</v>
      </c>
      <c r="L6" s="75" t="s">
        <v>19</v>
      </c>
      <c r="M6" s="76"/>
      <c r="N6" s="28" t="s">
        <v>13</v>
      </c>
      <c r="O6" s="28" t="s">
        <v>2</v>
      </c>
      <c r="P6" s="28" t="s">
        <v>14</v>
      </c>
      <c r="Q6" s="28" t="s">
        <v>15</v>
      </c>
      <c r="R6" s="28" t="s">
        <v>16</v>
      </c>
      <c r="S6" s="20"/>
      <c r="Y6" t="s">
        <v>14</v>
      </c>
    </row>
    <row r="7" spans="2:25" ht="15" customHeight="1" x14ac:dyDescent="0.25">
      <c r="B7" s="7">
        <v>40097</v>
      </c>
      <c r="C7" s="8">
        <v>1</v>
      </c>
      <c r="D7" t="str">
        <f t="shared" si="0"/>
        <v>Лапти липовые</v>
      </c>
      <c r="E7">
        <v>1</v>
      </c>
      <c r="F7">
        <f t="shared" si="1"/>
        <v>110.00000000000001</v>
      </c>
      <c r="G7">
        <f t="shared" si="2"/>
        <v>110.00000000000001</v>
      </c>
      <c r="L7" s="75"/>
      <c r="M7" s="76"/>
      <c r="N7" s="27"/>
      <c r="O7" s="27" t="s">
        <v>8</v>
      </c>
      <c r="P7" s="27"/>
      <c r="Q7" s="27"/>
      <c r="R7" s="27"/>
      <c r="S7" s="20"/>
      <c r="Y7" t="s">
        <v>15</v>
      </c>
    </row>
    <row r="8" spans="2:25" ht="11.25" customHeight="1" x14ac:dyDescent="0.25">
      <c r="B8" s="7">
        <v>40098</v>
      </c>
      <c r="C8" s="8">
        <v>4</v>
      </c>
      <c r="D8" t="str">
        <f t="shared" si="0"/>
        <v>Валенки</v>
      </c>
      <c r="E8">
        <v>1</v>
      </c>
      <c r="F8">
        <f t="shared" si="1"/>
        <v>330</v>
      </c>
      <c r="G8">
        <f t="shared" si="2"/>
        <v>330</v>
      </c>
      <c r="L8" s="19"/>
      <c r="M8" s="15"/>
      <c r="N8" s="15"/>
      <c r="O8" s="15"/>
      <c r="P8" s="15"/>
      <c r="Q8" s="15"/>
      <c r="R8" s="15"/>
      <c r="S8" s="20"/>
      <c r="Y8" t="s">
        <v>16</v>
      </c>
    </row>
    <row r="9" spans="2:25" ht="13.5" customHeight="1" thickBot="1" x14ac:dyDescent="0.3">
      <c r="B9" s="7">
        <v>40098</v>
      </c>
      <c r="C9" s="8">
        <v>1</v>
      </c>
      <c r="D9" t="str">
        <f t="shared" si="0"/>
        <v>Лапти липовые</v>
      </c>
      <c r="E9">
        <v>1</v>
      </c>
      <c r="F9">
        <f t="shared" si="1"/>
        <v>110.00000000000001</v>
      </c>
      <c r="G9">
        <f t="shared" si="2"/>
        <v>110.00000000000001</v>
      </c>
      <c r="L9" s="21"/>
      <c r="M9" s="22"/>
      <c r="N9" s="22"/>
      <c r="O9" s="22"/>
      <c r="P9" s="22"/>
      <c r="Q9" s="22"/>
      <c r="R9" s="22"/>
      <c r="S9" s="23"/>
      <c r="Y9">
        <v>3</v>
      </c>
    </row>
    <row r="10" spans="2:25" ht="15.75" customHeight="1" x14ac:dyDescent="0.25">
      <c r="B10" s="7">
        <v>40098</v>
      </c>
      <c r="C10" s="8">
        <v>3</v>
      </c>
      <c r="D10" t="str">
        <f t="shared" si="0"/>
        <v>Галоши</v>
      </c>
      <c r="E10">
        <v>1</v>
      </c>
      <c r="F10">
        <f t="shared" si="1"/>
        <v>165</v>
      </c>
      <c r="G10">
        <f t="shared" si="2"/>
        <v>165</v>
      </c>
    </row>
    <row r="11" spans="2:25" ht="17.25" customHeight="1" x14ac:dyDescent="0.25">
      <c r="B11" s="7">
        <v>40099</v>
      </c>
      <c r="C11" s="8">
        <v>2</v>
      </c>
      <c r="D11" t="str">
        <f t="shared" si="0"/>
        <v>Лапти дубовые</v>
      </c>
      <c r="E11">
        <v>1</v>
      </c>
      <c r="F11">
        <f t="shared" si="1"/>
        <v>240</v>
      </c>
      <c r="G11">
        <f t="shared" si="2"/>
        <v>240</v>
      </c>
    </row>
    <row r="12" spans="2:25" ht="16.5" customHeight="1" x14ac:dyDescent="0.25">
      <c r="B12" s="7">
        <v>40099</v>
      </c>
      <c r="C12" s="8">
        <v>3</v>
      </c>
      <c r="D12" t="str">
        <f t="shared" si="0"/>
        <v>Галоши</v>
      </c>
      <c r="E12">
        <v>1</v>
      </c>
      <c r="F12">
        <f t="shared" si="1"/>
        <v>165</v>
      </c>
      <c r="G12">
        <f t="shared" si="2"/>
        <v>165</v>
      </c>
      <c r="O12" s="12"/>
    </row>
    <row r="13" spans="2:25" ht="17.25" customHeight="1" x14ac:dyDescent="0.25">
      <c r="B13" s="7">
        <v>40100</v>
      </c>
      <c r="C13" s="8">
        <v>3</v>
      </c>
      <c r="D13" t="str">
        <f t="shared" si="0"/>
        <v>Галоши</v>
      </c>
      <c r="E13">
        <v>1</v>
      </c>
      <c r="F13">
        <f t="shared" si="1"/>
        <v>165</v>
      </c>
      <c r="G13">
        <f t="shared" si="2"/>
        <v>165</v>
      </c>
    </row>
    <row r="14" spans="2:25" ht="15.75" customHeight="1" x14ac:dyDescent="0.25">
      <c r="B14" s="7">
        <v>40100</v>
      </c>
      <c r="C14" s="8">
        <v>5</v>
      </c>
      <c r="D14" t="str">
        <f t="shared" si="0"/>
        <v>Кепка a ’la Lenin</v>
      </c>
      <c r="E14">
        <v>1</v>
      </c>
      <c r="F14">
        <f t="shared" si="1"/>
        <v>440.00000000000006</v>
      </c>
      <c r="G14">
        <f t="shared" si="2"/>
        <v>440.00000000000006</v>
      </c>
    </row>
    <row r="15" spans="2:25" ht="18" customHeight="1" x14ac:dyDescent="0.25">
      <c r="B15" s="7">
        <v>40100</v>
      </c>
      <c r="C15" s="8">
        <v>4</v>
      </c>
      <c r="D15" t="str">
        <f t="shared" si="0"/>
        <v>Валенки</v>
      </c>
      <c r="E15">
        <v>1</v>
      </c>
      <c r="F15">
        <f t="shared" si="1"/>
        <v>330</v>
      </c>
      <c r="G15">
        <f t="shared" si="2"/>
        <v>330</v>
      </c>
    </row>
    <row r="16" spans="2:25" ht="20.25" customHeight="1" x14ac:dyDescent="0.25">
      <c r="B16" s="7">
        <v>40102</v>
      </c>
      <c r="C16" s="8">
        <v>1</v>
      </c>
      <c r="D16" t="str">
        <f t="shared" si="0"/>
        <v>Лапти липовые</v>
      </c>
      <c r="E16">
        <v>1</v>
      </c>
      <c r="F16">
        <f t="shared" si="1"/>
        <v>110.00000000000001</v>
      </c>
      <c r="G16">
        <f t="shared" si="2"/>
        <v>110.00000000000001</v>
      </c>
    </row>
    <row r="17" spans="2:7" ht="19.5" customHeight="1" x14ac:dyDescent="0.25">
      <c r="B17" s="7">
        <v>40103</v>
      </c>
      <c r="C17" s="8">
        <v>5</v>
      </c>
      <c r="D17" t="str">
        <f t="shared" si="0"/>
        <v>Кепка a ’la Lenin</v>
      </c>
      <c r="E17">
        <v>1</v>
      </c>
      <c r="F17">
        <f t="shared" si="1"/>
        <v>440.00000000000006</v>
      </c>
      <c r="G17">
        <f t="shared" si="2"/>
        <v>440.00000000000006</v>
      </c>
    </row>
    <row r="18" spans="2:7" ht="15.75" x14ac:dyDescent="0.25">
      <c r="B18" s="7">
        <v>40104</v>
      </c>
      <c r="C18" s="8">
        <v>2</v>
      </c>
      <c r="D18" t="str">
        <f t="shared" si="0"/>
        <v>Лапти дубовые</v>
      </c>
      <c r="E18">
        <v>1</v>
      </c>
      <c r="F18">
        <f t="shared" si="1"/>
        <v>240</v>
      </c>
      <c r="G18">
        <f t="shared" si="2"/>
        <v>240</v>
      </c>
    </row>
    <row r="19" spans="2:7" ht="15.75" customHeight="1" x14ac:dyDescent="0.25">
      <c r="B19" s="7">
        <v>40104</v>
      </c>
      <c r="C19" s="8">
        <v>4</v>
      </c>
      <c r="D19" t="str">
        <f t="shared" si="0"/>
        <v>Валенки</v>
      </c>
      <c r="E19">
        <v>1</v>
      </c>
      <c r="F19">
        <f t="shared" si="1"/>
        <v>330</v>
      </c>
      <c r="G19">
        <f t="shared" si="2"/>
        <v>330</v>
      </c>
    </row>
    <row r="20" spans="2:7" ht="18" customHeight="1" x14ac:dyDescent="0.25">
      <c r="B20" s="7">
        <v>40105</v>
      </c>
      <c r="C20" s="8">
        <v>1</v>
      </c>
      <c r="D20" t="str">
        <f t="shared" si="0"/>
        <v>Лапти липовые</v>
      </c>
      <c r="E20">
        <v>1</v>
      </c>
      <c r="F20">
        <f t="shared" si="1"/>
        <v>110.00000000000001</v>
      </c>
      <c r="G20">
        <f t="shared" si="2"/>
        <v>110.00000000000001</v>
      </c>
    </row>
    <row r="21" spans="2:7" ht="15.75" x14ac:dyDescent="0.25">
      <c r="B21" s="7">
        <v>40105</v>
      </c>
      <c r="C21" s="8">
        <v>2</v>
      </c>
      <c r="D21" t="str">
        <f t="shared" si="0"/>
        <v>Лапти дубовые</v>
      </c>
      <c r="E21">
        <v>1</v>
      </c>
      <c r="F21">
        <f t="shared" si="1"/>
        <v>240</v>
      </c>
      <c r="G21">
        <f t="shared" si="2"/>
        <v>240</v>
      </c>
    </row>
    <row r="22" spans="2:7" ht="18" customHeight="1" x14ac:dyDescent="0.25">
      <c r="B22" s="7">
        <v>40106</v>
      </c>
      <c r="C22" s="8">
        <v>5</v>
      </c>
      <c r="D22" t="str">
        <f t="shared" si="0"/>
        <v>Кепка a ’la Lenin</v>
      </c>
      <c r="E22">
        <v>1</v>
      </c>
      <c r="F22">
        <f t="shared" si="1"/>
        <v>440.00000000000006</v>
      </c>
      <c r="G22">
        <f t="shared" si="2"/>
        <v>440.00000000000006</v>
      </c>
    </row>
    <row r="23" spans="2:7" ht="18" customHeight="1" x14ac:dyDescent="0.25">
      <c r="B23" s="7">
        <v>40107</v>
      </c>
      <c r="C23" s="8">
        <v>1</v>
      </c>
      <c r="D23" t="str">
        <f t="shared" si="0"/>
        <v>Лапти липовые</v>
      </c>
      <c r="E23">
        <v>1</v>
      </c>
      <c r="F23">
        <f t="shared" si="1"/>
        <v>110.00000000000001</v>
      </c>
      <c r="G23">
        <f t="shared" si="2"/>
        <v>110.00000000000001</v>
      </c>
    </row>
    <row r="24" spans="2:7" ht="18.75" customHeight="1" x14ac:dyDescent="0.25">
      <c r="B24" s="7">
        <v>40108</v>
      </c>
      <c r="C24" s="8">
        <v>2</v>
      </c>
      <c r="D24" t="str">
        <f t="shared" si="0"/>
        <v>Лапти дубовые</v>
      </c>
      <c r="E24">
        <v>1</v>
      </c>
      <c r="F24">
        <f t="shared" si="1"/>
        <v>240</v>
      </c>
      <c r="G24">
        <f t="shared" si="2"/>
        <v>240</v>
      </c>
    </row>
    <row r="25" spans="2:7" ht="15.75" x14ac:dyDescent="0.25">
      <c r="B25" s="7">
        <v>40108</v>
      </c>
      <c r="C25" s="8">
        <v>5</v>
      </c>
      <c r="D25" t="str">
        <f t="shared" si="0"/>
        <v>Кепка a ’la Lenin</v>
      </c>
      <c r="E25">
        <v>1</v>
      </c>
      <c r="F25">
        <f t="shared" si="1"/>
        <v>440.00000000000006</v>
      </c>
      <c r="G25">
        <f t="shared" si="2"/>
        <v>440.00000000000006</v>
      </c>
    </row>
    <row r="26" spans="2:7" ht="15.75" x14ac:dyDescent="0.25">
      <c r="B26" s="7">
        <v>40108</v>
      </c>
      <c r="C26" s="8">
        <v>4</v>
      </c>
      <c r="D26" t="str">
        <f t="shared" si="0"/>
        <v>Валенки</v>
      </c>
      <c r="E26">
        <v>1</v>
      </c>
      <c r="F26">
        <f t="shared" si="1"/>
        <v>330</v>
      </c>
      <c r="G26">
        <f t="shared" si="2"/>
        <v>330</v>
      </c>
    </row>
    <row r="27" spans="2:7" ht="15.75" x14ac:dyDescent="0.25">
      <c r="B27" s="7">
        <v>40108</v>
      </c>
      <c r="C27" s="8">
        <v>5</v>
      </c>
      <c r="D27" t="str">
        <f t="shared" si="0"/>
        <v>Кепка a ’la Lenin</v>
      </c>
      <c r="E27">
        <v>1</v>
      </c>
      <c r="F27">
        <f t="shared" si="1"/>
        <v>440.00000000000006</v>
      </c>
      <c r="G27">
        <f t="shared" si="2"/>
        <v>440.00000000000006</v>
      </c>
    </row>
    <row r="28" spans="2:7" ht="15.75" x14ac:dyDescent="0.25">
      <c r="B28" s="7">
        <v>40109</v>
      </c>
      <c r="C28" s="8">
        <v>3</v>
      </c>
      <c r="D28" t="str">
        <f t="shared" si="0"/>
        <v>Галоши</v>
      </c>
      <c r="E28">
        <v>1</v>
      </c>
      <c r="F28">
        <f t="shared" si="1"/>
        <v>165</v>
      </c>
      <c r="G28">
        <f t="shared" si="2"/>
        <v>165</v>
      </c>
    </row>
    <row r="29" spans="2:7" ht="15.75" x14ac:dyDescent="0.25">
      <c r="B29" s="7">
        <v>40111</v>
      </c>
      <c r="C29" s="8">
        <v>1</v>
      </c>
      <c r="D29" t="str">
        <f t="shared" si="0"/>
        <v>Лапти липовые</v>
      </c>
      <c r="E29">
        <v>1</v>
      </c>
      <c r="F29">
        <f t="shared" si="1"/>
        <v>110.00000000000001</v>
      </c>
      <c r="G29">
        <f t="shared" si="2"/>
        <v>110.00000000000001</v>
      </c>
    </row>
    <row r="30" spans="2:7" ht="15.75" x14ac:dyDescent="0.25">
      <c r="B30" s="7">
        <v>40112</v>
      </c>
      <c r="C30" s="8">
        <v>3</v>
      </c>
      <c r="D30" t="str">
        <f t="shared" si="0"/>
        <v>Галоши</v>
      </c>
      <c r="E30">
        <v>1</v>
      </c>
      <c r="F30">
        <f t="shared" si="1"/>
        <v>165</v>
      </c>
      <c r="G30">
        <f t="shared" si="2"/>
        <v>165</v>
      </c>
    </row>
    <row r="31" spans="2:7" ht="15.75" x14ac:dyDescent="0.25">
      <c r="B31" s="7">
        <v>40112</v>
      </c>
      <c r="C31" s="8">
        <v>3</v>
      </c>
      <c r="D31" t="str">
        <f t="shared" si="0"/>
        <v>Галоши</v>
      </c>
      <c r="E31">
        <v>1</v>
      </c>
      <c r="F31">
        <f t="shared" si="1"/>
        <v>165</v>
      </c>
      <c r="G31">
        <f t="shared" si="2"/>
        <v>165</v>
      </c>
    </row>
    <row r="32" spans="2:7" ht="15.75" x14ac:dyDescent="0.25">
      <c r="B32" s="7">
        <v>40115</v>
      </c>
      <c r="C32" s="8">
        <v>6</v>
      </c>
      <c r="D32" t="str">
        <f t="shared" si="0"/>
        <v>Кепка a 'la Luzkov</v>
      </c>
      <c r="E32">
        <v>1</v>
      </c>
      <c r="F32">
        <f t="shared" si="1"/>
        <v>600</v>
      </c>
      <c r="G32">
        <f t="shared" si="2"/>
        <v>600</v>
      </c>
    </row>
    <row r="33" spans="2:7" ht="15.75" x14ac:dyDescent="0.25">
      <c r="B33" s="7">
        <v>40115</v>
      </c>
      <c r="C33" s="8">
        <v>3</v>
      </c>
      <c r="D33" t="str">
        <f t="shared" si="0"/>
        <v>Галоши</v>
      </c>
      <c r="E33">
        <v>1</v>
      </c>
      <c r="F33">
        <f t="shared" si="1"/>
        <v>165</v>
      </c>
      <c r="G33">
        <f t="shared" si="2"/>
        <v>165</v>
      </c>
    </row>
    <row r="34" spans="2:7" ht="15.75" x14ac:dyDescent="0.25">
      <c r="B34" s="7">
        <v>40116</v>
      </c>
      <c r="C34" s="8">
        <v>4</v>
      </c>
      <c r="D34" t="str">
        <f t="shared" si="0"/>
        <v>Валенки</v>
      </c>
      <c r="E34">
        <v>1</v>
      </c>
      <c r="F34">
        <f t="shared" si="1"/>
        <v>330</v>
      </c>
      <c r="G34">
        <f t="shared" si="2"/>
        <v>330</v>
      </c>
    </row>
    <row r="35" spans="2:7" ht="15.75" x14ac:dyDescent="0.25">
      <c r="B35" s="7">
        <v>40087</v>
      </c>
      <c r="C35" s="8">
        <v>6</v>
      </c>
      <c r="D35" t="str">
        <f t="shared" si="0"/>
        <v>Кепка a 'la Luzkov</v>
      </c>
      <c r="E35">
        <v>2</v>
      </c>
      <c r="F35">
        <f t="shared" si="1"/>
        <v>600</v>
      </c>
      <c r="G35">
        <f t="shared" si="2"/>
        <v>1200</v>
      </c>
    </row>
    <row r="36" spans="2:7" ht="15.75" x14ac:dyDescent="0.25">
      <c r="B36" s="7">
        <v>40087</v>
      </c>
      <c r="C36" s="8">
        <v>1</v>
      </c>
      <c r="D36" t="str">
        <f t="shared" si="0"/>
        <v>Лапти липовые</v>
      </c>
      <c r="E36">
        <v>2</v>
      </c>
      <c r="F36">
        <f t="shared" si="1"/>
        <v>110.00000000000001</v>
      </c>
      <c r="G36">
        <f t="shared" si="2"/>
        <v>220.00000000000003</v>
      </c>
    </row>
    <row r="37" spans="2:7" ht="15.75" x14ac:dyDescent="0.25">
      <c r="B37" s="7">
        <v>40090</v>
      </c>
      <c r="C37" s="8">
        <v>6</v>
      </c>
      <c r="D37" t="str">
        <f t="shared" si="0"/>
        <v>Кепка a 'la Luzkov</v>
      </c>
      <c r="E37">
        <v>2</v>
      </c>
      <c r="F37">
        <f t="shared" si="1"/>
        <v>600</v>
      </c>
      <c r="G37">
        <f t="shared" si="2"/>
        <v>1200</v>
      </c>
    </row>
    <row r="38" spans="2:7" ht="15.75" x14ac:dyDescent="0.25">
      <c r="B38" s="7">
        <v>40091</v>
      </c>
      <c r="C38" s="8">
        <v>1</v>
      </c>
      <c r="D38" t="str">
        <f t="shared" si="0"/>
        <v>Лапти липовые</v>
      </c>
      <c r="E38">
        <v>2</v>
      </c>
      <c r="F38">
        <f t="shared" si="1"/>
        <v>110.00000000000001</v>
      </c>
      <c r="G38">
        <f t="shared" si="2"/>
        <v>220.00000000000003</v>
      </c>
    </row>
    <row r="39" spans="2:7" ht="15.75" x14ac:dyDescent="0.25">
      <c r="B39" s="7">
        <v>40091</v>
      </c>
      <c r="C39" s="8">
        <v>4</v>
      </c>
      <c r="D39" t="str">
        <f t="shared" si="0"/>
        <v>Валенки</v>
      </c>
      <c r="E39">
        <v>2</v>
      </c>
      <c r="F39">
        <f t="shared" si="1"/>
        <v>330</v>
      </c>
      <c r="G39">
        <f t="shared" si="2"/>
        <v>660</v>
      </c>
    </row>
    <row r="40" spans="2:7" ht="15.75" x14ac:dyDescent="0.25">
      <c r="B40" s="7">
        <v>40092</v>
      </c>
      <c r="C40" s="8">
        <v>5</v>
      </c>
      <c r="D40" t="str">
        <f t="shared" si="0"/>
        <v>Кепка a ’la Lenin</v>
      </c>
      <c r="E40">
        <v>2</v>
      </c>
      <c r="F40">
        <f t="shared" si="1"/>
        <v>440.00000000000006</v>
      </c>
      <c r="G40">
        <f t="shared" si="2"/>
        <v>880.00000000000011</v>
      </c>
    </row>
    <row r="41" spans="2:7" ht="15.75" x14ac:dyDescent="0.25">
      <c r="B41" s="7">
        <v>40093</v>
      </c>
      <c r="C41" s="8">
        <v>5</v>
      </c>
      <c r="D41" t="str">
        <f t="shared" si="0"/>
        <v>Кепка a ’la Lenin</v>
      </c>
      <c r="E41">
        <v>2</v>
      </c>
      <c r="F41">
        <f t="shared" si="1"/>
        <v>440.00000000000006</v>
      </c>
      <c r="G41">
        <f t="shared" si="2"/>
        <v>880.00000000000011</v>
      </c>
    </row>
    <row r="42" spans="2:7" ht="15.75" x14ac:dyDescent="0.25">
      <c r="B42" s="7">
        <v>40093</v>
      </c>
      <c r="C42" s="8">
        <v>5</v>
      </c>
      <c r="D42" t="str">
        <f t="shared" si="0"/>
        <v>Кепка a ’la Lenin</v>
      </c>
      <c r="E42">
        <v>2</v>
      </c>
      <c r="F42">
        <f t="shared" si="1"/>
        <v>440.00000000000006</v>
      </c>
      <c r="G42">
        <f t="shared" si="2"/>
        <v>880.00000000000011</v>
      </c>
    </row>
    <row r="43" spans="2:7" ht="18" customHeight="1" x14ac:dyDescent="0.25">
      <c r="B43" s="7">
        <v>40093</v>
      </c>
      <c r="C43" s="8">
        <v>4</v>
      </c>
      <c r="D43" t="str">
        <f t="shared" si="0"/>
        <v>Валенки</v>
      </c>
      <c r="E43">
        <v>2</v>
      </c>
      <c r="F43">
        <f t="shared" si="1"/>
        <v>330</v>
      </c>
      <c r="G43">
        <f t="shared" si="2"/>
        <v>660</v>
      </c>
    </row>
    <row r="44" spans="2:7" ht="13.5" customHeight="1" x14ac:dyDescent="0.25">
      <c r="B44" s="7">
        <v>40094</v>
      </c>
      <c r="C44" s="8">
        <v>4</v>
      </c>
      <c r="D44" t="str">
        <f t="shared" si="0"/>
        <v>Валенки</v>
      </c>
      <c r="E44">
        <v>2</v>
      </c>
      <c r="F44">
        <f t="shared" si="1"/>
        <v>330</v>
      </c>
      <c r="G44">
        <f t="shared" si="2"/>
        <v>660</v>
      </c>
    </row>
    <row r="45" spans="2:7" ht="15.75" x14ac:dyDescent="0.25">
      <c r="B45" s="7">
        <v>40094</v>
      </c>
      <c r="C45" s="8">
        <v>2</v>
      </c>
      <c r="D45" t="str">
        <f t="shared" si="0"/>
        <v>Лапти дубовые</v>
      </c>
      <c r="E45">
        <v>2</v>
      </c>
      <c r="F45">
        <f t="shared" si="1"/>
        <v>240</v>
      </c>
      <c r="G45">
        <f t="shared" si="2"/>
        <v>480</v>
      </c>
    </row>
    <row r="46" spans="2:7" ht="15.75" x14ac:dyDescent="0.25">
      <c r="B46" s="7">
        <v>40095</v>
      </c>
      <c r="C46" s="8">
        <v>6</v>
      </c>
      <c r="D46" t="str">
        <f t="shared" si="0"/>
        <v>Кепка a 'la Luzkov</v>
      </c>
      <c r="E46">
        <v>2</v>
      </c>
      <c r="F46">
        <f t="shared" si="1"/>
        <v>600</v>
      </c>
      <c r="G46">
        <f t="shared" si="2"/>
        <v>1200</v>
      </c>
    </row>
    <row r="47" spans="2:7" ht="15.75" x14ac:dyDescent="0.25">
      <c r="B47" s="7">
        <v>40097</v>
      </c>
      <c r="C47" s="8">
        <v>4</v>
      </c>
      <c r="D47" t="str">
        <f t="shared" si="0"/>
        <v>Валенки</v>
      </c>
      <c r="E47">
        <v>2</v>
      </c>
      <c r="F47">
        <f t="shared" si="1"/>
        <v>330</v>
      </c>
      <c r="G47">
        <f t="shared" si="2"/>
        <v>660</v>
      </c>
    </row>
    <row r="48" spans="2:7" ht="15.75" x14ac:dyDescent="0.25">
      <c r="B48" s="7">
        <v>40099</v>
      </c>
      <c r="C48" s="8">
        <v>6</v>
      </c>
      <c r="D48" t="str">
        <f t="shared" si="0"/>
        <v>Кепка a 'la Luzkov</v>
      </c>
      <c r="E48">
        <v>2</v>
      </c>
      <c r="F48">
        <f t="shared" si="1"/>
        <v>600</v>
      </c>
      <c r="G48">
        <f t="shared" si="2"/>
        <v>1200</v>
      </c>
    </row>
    <row r="49" spans="2:7" ht="15.75" x14ac:dyDescent="0.25">
      <c r="B49" s="7">
        <v>40099</v>
      </c>
      <c r="C49" s="8">
        <v>5</v>
      </c>
      <c r="D49" t="str">
        <f t="shared" si="0"/>
        <v>Кепка a ’la Lenin</v>
      </c>
      <c r="E49">
        <v>2</v>
      </c>
      <c r="F49">
        <f t="shared" si="1"/>
        <v>440.00000000000006</v>
      </c>
      <c r="G49">
        <f t="shared" si="2"/>
        <v>880.00000000000011</v>
      </c>
    </row>
    <row r="50" spans="2:7" ht="15.75" x14ac:dyDescent="0.25">
      <c r="B50" s="7">
        <v>40100</v>
      </c>
      <c r="C50" s="8">
        <v>2</v>
      </c>
      <c r="D50" t="str">
        <f t="shared" si="0"/>
        <v>Лапти дубовые</v>
      </c>
      <c r="E50">
        <v>2</v>
      </c>
      <c r="F50">
        <f t="shared" si="1"/>
        <v>240</v>
      </c>
      <c r="G50">
        <f t="shared" si="2"/>
        <v>480</v>
      </c>
    </row>
    <row r="51" spans="2:7" ht="15.75" x14ac:dyDescent="0.25">
      <c r="B51" s="7">
        <v>40100</v>
      </c>
      <c r="C51" s="8">
        <v>6</v>
      </c>
      <c r="D51" t="str">
        <f t="shared" si="0"/>
        <v>Кепка a 'la Luzkov</v>
      </c>
      <c r="E51">
        <v>2</v>
      </c>
      <c r="F51">
        <f t="shared" si="1"/>
        <v>600</v>
      </c>
      <c r="G51">
        <f t="shared" si="2"/>
        <v>1200</v>
      </c>
    </row>
    <row r="52" spans="2:7" ht="15.75" x14ac:dyDescent="0.25">
      <c r="B52" s="7">
        <v>40101</v>
      </c>
      <c r="C52" s="8">
        <v>1</v>
      </c>
      <c r="D52" t="str">
        <f t="shared" si="0"/>
        <v>Лапти липовые</v>
      </c>
      <c r="E52">
        <v>2</v>
      </c>
      <c r="F52">
        <f t="shared" si="1"/>
        <v>110.00000000000001</v>
      </c>
      <c r="G52">
        <f t="shared" si="2"/>
        <v>220.00000000000003</v>
      </c>
    </row>
    <row r="53" spans="2:7" ht="15.75" x14ac:dyDescent="0.25">
      <c r="B53" s="7">
        <v>40102</v>
      </c>
      <c r="C53" s="8">
        <v>5</v>
      </c>
      <c r="D53" t="str">
        <f t="shared" si="0"/>
        <v>Кепка a ’la Lenin</v>
      </c>
      <c r="E53">
        <v>2</v>
      </c>
      <c r="F53">
        <f t="shared" si="1"/>
        <v>440.00000000000006</v>
      </c>
      <c r="G53">
        <f t="shared" si="2"/>
        <v>880.00000000000011</v>
      </c>
    </row>
    <row r="54" spans="2:7" ht="15.75" x14ac:dyDescent="0.25">
      <c r="B54" s="7">
        <v>40105</v>
      </c>
      <c r="C54" s="8">
        <v>2</v>
      </c>
      <c r="D54" t="str">
        <f t="shared" si="0"/>
        <v>Лапти дубовые</v>
      </c>
      <c r="E54">
        <v>2</v>
      </c>
      <c r="F54">
        <f t="shared" si="1"/>
        <v>240</v>
      </c>
      <c r="G54">
        <f t="shared" si="2"/>
        <v>480</v>
      </c>
    </row>
    <row r="55" spans="2:7" ht="15.75" x14ac:dyDescent="0.25">
      <c r="B55" s="7">
        <v>40105</v>
      </c>
      <c r="C55" s="8">
        <v>5</v>
      </c>
      <c r="D55" t="str">
        <f t="shared" si="0"/>
        <v>Кепка a ’la Lenin</v>
      </c>
      <c r="E55">
        <v>2</v>
      </c>
      <c r="F55">
        <f t="shared" si="1"/>
        <v>440.00000000000006</v>
      </c>
      <c r="G55">
        <f t="shared" si="2"/>
        <v>880.00000000000011</v>
      </c>
    </row>
    <row r="56" spans="2:7" ht="15.75" x14ac:dyDescent="0.25">
      <c r="B56" s="7">
        <v>40106</v>
      </c>
      <c r="C56" s="8">
        <v>5</v>
      </c>
      <c r="D56" t="str">
        <f t="shared" si="0"/>
        <v>Кепка a ’la Lenin</v>
      </c>
      <c r="E56">
        <v>2</v>
      </c>
      <c r="F56">
        <f t="shared" si="1"/>
        <v>440.00000000000006</v>
      </c>
      <c r="G56">
        <f t="shared" si="2"/>
        <v>880.00000000000011</v>
      </c>
    </row>
    <row r="57" spans="2:7" ht="15.75" x14ac:dyDescent="0.25">
      <c r="B57" s="7">
        <v>40106</v>
      </c>
      <c r="C57" s="8">
        <v>3</v>
      </c>
      <c r="D57" t="str">
        <f t="shared" si="0"/>
        <v>Галоши</v>
      </c>
      <c r="E57">
        <v>2</v>
      </c>
      <c r="F57">
        <f t="shared" si="1"/>
        <v>165</v>
      </c>
      <c r="G57">
        <f t="shared" si="2"/>
        <v>330</v>
      </c>
    </row>
    <row r="58" spans="2:7" ht="15.75" x14ac:dyDescent="0.25">
      <c r="B58" s="7">
        <v>40107</v>
      </c>
      <c r="C58" s="8">
        <v>5</v>
      </c>
      <c r="D58" t="str">
        <f t="shared" si="0"/>
        <v>Кепка a ’la Lenin</v>
      </c>
      <c r="E58">
        <v>2</v>
      </c>
      <c r="F58">
        <f t="shared" si="1"/>
        <v>440.00000000000006</v>
      </c>
      <c r="G58">
        <f t="shared" si="2"/>
        <v>880.00000000000011</v>
      </c>
    </row>
    <row r="59" spans="2:7" ht="15.75" x14ac:dyDescent="0.25">
      <c r="B59" s="7">
        <v>40109</v>
      </c>
      <c r="C59" s="8">
        <v>2</v>
      </c>
      <c r="D59" t="str">
        <f t="shared" si="0"/>
        <v>Лапти дубовые</v>
      </c>
      <c r="E59">
        <v>2</v>
      </c>
      <c r="F59">
        <f t="shared" si="1"/>
        <v>240</v>
      </c>
      <c r="G59">
        <f t="shared" si="2"/>
        <v>480</v>
      </c>
    </row>
    <row r="60" spans="2:7" ht="15.75" x14ac:dyDescent="0.25">
      <c r="B60" s="7">
        <v>40112</v>
      </c>
      <c r="C60" s="8">
        <v>1</v>
      </c>
      <c r="D60" t="str">
        <f t="shared" si="0"/>
        <v>Лапти липовые</v>
      </c>
      <c r="E60">
        <v>2</v>
      </c>
      <c r="F60">
        <f t="shared" si="1"/>
        <v>110.00000000000001</v>
      </c>
      <c r="G60">
        <f t="shared" si="2"/>
        <v>220.00000000000003</v>
      </c>
    </row>
    <row r="61" spans="2:7" ht="15.75" x14ac:dyDescent="0.25">
      <c r="B61" s="7">
        <v>40112</v>
      </c>
      <c r="C61" s="8">
        <v>2</v>
      </c>
      <c r="D61" t="str">
        <f t="shared" si="0"/>
        <v>Лапти дубовые</v>
      </c>
      <c r="E61">
        <v>2</v>
      </c>
      <c r="F61">
        <f t="shared" si="1"/>
        <v>240</v>
      </c>
      <c r="G61">
        <f t="shared" si="2"/>
        <v>480</v>
      </c>
    </row>
    <row r="62" spans="2:7" ht="17.25" customHeight="1" x14ac:dyDescent="0.25">
      <c r="B62" s="7">
        <v>40112</v>
      </c>
      <c r="C62" s="8">
        <v>2</v>
      </c>
      <c r="D62" t="str">
        <f t="shared" si="0"/>
        <v>Лапти дубовые</v>
      </c>
      <c r="E62">
        <v>2</v>
      </c>
      <c r="F62">
        <f t="shared" si="1"/>
        <v>240</v>
      </c>
      <c r="G62">
        <f t="shared" si="2"/>
        <v>480</v>
      </c>
    </row>
    <row r="63" spans="2:7" ht="15.75" x14ac:dyDescent="0.25">
      <c r="B63" s="7">
        <v>40116</v>
      </c>
      <c r="C63" s="8">
        <v>5</v>
      </c>
      <c r="D63" t="str">
        <f t="shared" si="0"/>
        <v>Кепка a ’la Lenin</v>
      </c>
      <c r="E63">
        <v>2</v>
      </c>
      <c r="F63">
        <f t="shared" si="1"/>
        <v>440.00000000000006</v>
      </c>
      <c r="G63">
        <f t="shared" si="2"/>
        <v>880.00000000000011</v>
      </c>
    </row>
    <row r="64" spans="2:7" ht="15.75" x14ac:dyDescent="0.25">
      <c r="B64" s="7">
        <v>40089</v>
      </c>
      <c r="C64" s="8">
        <v>3</v>
      </c>
      <c r="D64" t="str">
        <f t="shared" si="0"/>
        <v>Галоши</v>
      </c>
      <c r="E64">
        <v>3</v>
      </c>
      <c r="F64">
        <f t="shared" si="1"/>
        <v>165</v>
      </c>
      <c r="G64">
        <f t="shared" si="2"/>
        <v>495</v>
      </c>
    </row>
    <row r="65" spans="2:7" ht="8.25" customHeight="1" x14ac:dyDescent="0.25">
      <c r="B65" s="7">
        <v>40089</v>
      </c>
      <c r="C65" s="8">
        <v>6</v>
      </c>
      <c r="D65" t="str">
        <f t="shared" si="0"/>
        <v>Кепка a 'la Luzkov</v>
      </c>
      <c r="E65">
        <v>3</v>
      </c>
      <c r="F65">
        <f t="shared" si="1"/>
        <v>600</v>
      </c>
      <c r="G65">
        <f t="shared" si="2"/>
        <v>1800</v>
      </c>
    </row>
    <row r="66" spans="2:7" ht="9.75" customHeight="1" x14ac:dyDescent="0.25">
      <c r="B66" s="7">
        <v>40092</v>
      </c>
      <c r="C66" s="8">
        <v>4</v>
      </c>
      <c r="D66" t="str">
        <f t="shared" si="0"/>
        <v>Валенки</v>
      </c>
      <c r="E66">
        <v>3</v>
      </c>
      <c r="F66">
        <f t="shared" si="1"/>
        <v>330</v>
      </c>
      <c r="G66">
        <f t="shared" si="2"/>
        <v>990</v>
      </c>
    </row>
    <row r="67" spans="2:7" ht="9.75" customHeight="1" x14ac:dyDescent="0.25">
      <c r="B67" s="7">
        <v>40092</v>
      </c>
      <c r="C67" s="8">
        <v>4</v>
      </c>
      <c r="D67" t="str">
        <f t="shared" ref="D67:D130" si="3">VLOOKUP(C67,Справочник_товары,2)</f>
        <v>Валенки</v>
      </c>
      <c r="E67">
        <v>3</v>
      </c>
      <c r="F67">
        <f t="shared" ref="F67:F130" si="4" xml:space="preserve"> VLOOKUP(C67, Справочник_товары,4) * (1 + VLOOKUP(C67, Справочник_товары,5))</f>
        <v>330</v>
      </c>
      <c r="G67">
        <f t="shared" ref="G67:G130" si="5" xml:space="preserve"> E67 * F67</f>
        <v>990</v>
      </c>
    </row>
    <row r="68" spans="2:7" ht="9.75" customHeight="1" x14ac:dyDescent="0.25">
      <c r="B68" s="7">
        <v>40095</v>
      </c>
      <c r="C68" s="8">
        <v>6</v>
      </c>
      <c r="D68" t="str">
        <f t="shared" si="3"/>
        <v>Кепка a 'la Luzkov</v>
      </c>
      <c r="E68">
        <v>3</v>
      </c>
      <c r="F68">
        <f t="shared" si="4"/>
        <v>600</v>
      </c>
      <c r="G68">
        <f t="shared" si="5"/>
        <v>1800</v>
      </c>
    </row>
    <row r="69" spans="2:7" ht="10.5" customHeight="1" x14ac:dyDescent="0.25">
      <c r="B69" s="7">
        <v>40097</v>
      </c>
      <c r="C69" s="8">
        <v>1</v>
      </c>
      <c r="D69" t="str">
        <f t="shared" si="3"/>
        <v>Лапти липовые</v>
      </c>
      <c r="E69">
        <v>3</v>
      </c>
      <c r="F69">
        <f t="shared" si="4"/>
        <v>110.00000000000001</v>
      </c>
      <c r="G69">
        <f t="shared" si="5"/>
        <v>330.00000000000006</v>
      </c>
    </row>
    <row r="70" spans="2:7" ht="15.75" x14ac:dyDescent="0.25">
      <c r="B70" s="7">
        <v>40097</v>
      </c>
      <c r="C70" s="8">
        <v>2</v>
      </c>
      <c r="D70" t="str">
        <f t="shared" si="3"/>
        <v>Лапти дубовые</v>
      </c>
      <c r="E70">
        <v>3</v>
      </c>
      <c r="F70">
        <f t="shared" si="4"/>
        <v>240</v>
      </c>
      <c r="G70">
        <f t="shared" si="5"/>
        <v>720</v>
      </c>
    </row>
    <row r="71" spans="2:7" ht="15.75" x14ac:dyDescent="0.25">
      <c r="B71" s="7">
        <v>40097</v>
      </c>
      <c r="C71" s="8">
        <v>1</v>
      </c>
      <c r="D71" t="str">
        <f t="shared" si="3"/>
        <v>Лапти липовые</v>
      </c>
      <c r="E71">
        <v>3</v>
      </c>
      <c r="F71">
        <f t="shared" si="4"/>
        <v>110.00000000000001</v>
      </c>
      <c r="G71">
        <f t="shared" si="5"/>
        <v>330.00000000000006</v>
      </c>
    </row>
    <row r="72" spans="2:7" ht="15.75" x14ac:dyDescent="0.25">
      <c r="B72" s="7">
        <v>40097</v>
      </c>
      <c r="C72" s="8">
        <v>2</v>
      </c>
      <c r="D72" t="str">
        <f t="shared" si="3"/>
        <v>Лапти дубовые</v>
      </c>
      <c r="E72">
        <v>3</v>
      </c>
      <c r="F72">
        <f t="shared" si="4"/>
        <v>240</v>
      </c>
      <c r="G72">
        <f t="shared" si="5"/>
        <v>720</v>
      </c>
    </row>
    <row r="73" spans="2:7" ht="15.75" x14ac:dyDescent="0.25">
      <c r="B73" s="7">
        <v>40098</v>
      </c>
      <c r="C73" s="8">
        <v>1</v>
      </c>
      <c r="D73" t="str">
        <f t="shared" si="3"/>
        <v>Лапти липовые</v>
      </c>
      <c r="E73">
        <v>3</v>
      </c>
      <c r="F73">
        <f t="shared" si="4"/>
        <v>110.00000000000001</v>
      </c>
      <c r="G73">
        <f t="shared" si="5"/>
        <v>330.00000000000006</v>
      </c>
    </row>
    <row r="74" spans="2:7" ht="15.75" x14ac:dyDescent="0.25">
      <c r="B74" s="7">
        <v>40098</v>
      </c>
      <c r="C74" s="8">
        <v>3</v>
      </c>
      <c r="D74" t="str">
        <f t="shared" si="3"/>
        <v>Галоши</v>
      </c>
      <c r="E74">
        <v>3</v>
      </c>
      <c r="F74">
        <f t="shared" si="4"/>
        <v>165</v>
      </c>
      <c r="G74">
        <f t="shared" si="5"/>
        <v>495</v>
      </c>
    </row>
    <row r="75" spans="2:7" ht="15.75" x14ac:dyDescent="0.25">
      <c r="B75" s="7">
        <v>40098</v>
      </c>
      <c r="C75" s="8">
        <v>5</v>
      </c>
      <c r="D75" t="str">
        <f t="shared" si="3"/>
        <v>Кепка a ’la Lenin</v>
      </c>
      <c r="E75">
        <v>3</v>
      </c>
      <c r="F75">
        <f t="shared" si="4"/>
        <v>440.00000000000006</v>
      </c>
      <c r="G75">
        <f t="shared" si="5"/>
        <v>1320.0000000000002</v>
      </c>
    </row>
    <row r="76" spans="2:7" ht="15.75" x14ac:dyDescent="0.25">
      <c r="B76" s="7">
        <v>40101</v>
      </c>
      <c r="C76" s="8">
        <v>1</v>
      </c>
      <c r="D76" t="str">
        <f t="shared" si="3"/>
        <v>Лапти липовые</v>
      </c>
      <c r="E76">
        <v>3</v>
      </c>
      <c r="F76">
        <f t="shared" si="4"/>
        <v>110.00000000000001</v>
      </c>
      <c r="G76">
        <f t="shared" si="5"/>
        <v>330.00000000000006</v>
      </c>
    </row>
    <row r="77" spans="2:7" ht="15.75" x14ac:dyDescent="0.25">
      <c r="B77" s="7">
        <v>40102</v>
      </c>
      <c r="C77" s="8">
        <v>6</v>
      </c>
      <c r="D77" t="str">
        <f t="shared" si="3"/>
        <v>Кепка a 'la Luzkov</v>
      </c>
      <c r="E77">
        <v>3</v>
      </c>
      <c r="F77">
        <f t="shared" si="4"/>
        <v>600</v>
      </c>
      <c r="G77">
        <f t="shared" si="5"/>
        <v>1800</v>
      </c>
    </row>
    <row r="78" spans="2:7" ht="15.75" x14ac:dyDescent="0.25">
      <c r="B78" s="7">
        <v>40103</v>
      </c>
      <c r="C78" s="8">
        <v>4</v>
      </c>
      <c r="D78" t="str">
        <f t="shared" si="3"/>
        <v>Валенки</v>
      </c>
      <c r="E78">
        <v>3</v>
      </c>
      <c r="F78">
        <f t="shared" si="4"/>
        <v>330</v>
      </c>
      <c r="G78">
        <f t="shared" si="5"/>
        <v>990</v>
      </c>
    </row>
    <row r="79" spans="2:7" ht="15.75" x14ac:dyDescent="0.25">
      <c r="B79" s="7">
        <v>40104</v>
      </c>
      <c r="C79" s="8">
        <v>6</v>
      </c>
      <c r="D79" t="str">
        <f t="shared" si="3"/>
        <v>Кепка a 'la Luzkov</v>
      </c>
      <c r="E79">
        <v>3</v>
      </c>
      <c r="F79">
        <f t="shared" si="4"/>
        <v>600</v>
      </c>
      <c r="G79">
        <f t="shared" si="5"/>
        <v>1800</v>
      </c>
    </row>
    <row r="80" spans="2:7" ht="15.75" x14ac:dyDescent="0.25">
      <c r="B80" s="7">
        <v>40104</v>
      </c>
      <c r="C80" s="8">
        <v>5</v>
      </c>
      <c r="D80" t="str">
        <f t="shared" si="3"/>
        <v>Кепка a ’la Lenin</v>
      </c>
      <c r="E80">
        <v>3</v>
      </c>
      <c r="F80">
        <f t="shared" si="4"/>
        <v>440.00000000000006</v>
      </c>
      <c r="G80">
        <f t="shared" si="5"/>
        <v>1320.0000000000002</v>
      </c>
    </row>
    <row r="81" spans="2:7" ht="15.75" x14ac:dyDescent="0.25">
      <c r="B81" s="7">
        <v>40105</v>
      </c>
      <c r="C81" s="8">
        <v>1</v>
      </c>
      <c r="D81" t="str">
        <f t="shared" si="3"/>
        <v>Лапти липовые</v>
      </c>
      <c r="E81">
        <v>3</v>
      </c>
      <c r="F81">
        <f t="shared" si="4"/>
        <v>110.00000000000001</v>
      </c>
      <c r="G81">
        <f t="shared" si="5"/>
        <v>330.00000000000006</v>
      </c>
    </row>
    <row r="82" spans="2:7" ht="15.75" x14ac:dyDescent="0.25">
      <c r="B82" s="7">
        <v>40106</v>
      </c>
      <c r="C82" s="8">
        <v>2</v>
      </c>
      <c r="D82" t="str">
        <f t="shared" si="3"/>
        <v>Лапти дубовые</v>
      </c>
      <c r="E82">
        <v>3</v>
      </c>
      <c r="F82">
        <f t="shared" si="4"/>
        <v>240</v>
      </c>
      <c r="G82">
        <f t="shared" si="5"/>
        <v>720</v>
      </c>
    </row>
    <row r="83" spans="2:7" ht="15.75" x14ac:dyDescent="0.25">
      <c r="B83" s="7">
        <v>40106</v>
      </c>
      <c r="C83" s="8">
        <v>6</v>
      </c>
      <c r="D83" t="str">
        <f t="shared" si="3"/>
        <v>Кепка a 'la Luzkov</v>
      </c>
      <c r="E83">
        <v>3</v>
      </c>
      <c r="F83">
        <f t="shared" si="4"/>
        <v>600</v>
      </c>
      <c r="G83">
        <f t="shared" si="5"/>
        <v>1800</v>
      </c>
    </row>
    <row r="84" spans="2:7" ht="15.75" x14ac:dyDescent="0.25">
      <c r="B84" s="7">
        <v>40107</v>
      </c>
      <c r="C84" s="8">
        <v>3</v>
      </c>
      <c r="D84" t="str">
        <f t="shared" si="3"/>
        <v>Галоши</v>
      </c>
      <c r="E84">
        <v>3</v>
      </c>
      <c r="F84">
        <f t="shared" si="4"/>
        <v>165</v>
      </c>
      <c r="G84">
        <f t="shared" si="5"/>
        <v>495</v>
      </c>
    </row>
    <row r="85" spans="2:7" ht="15.75" x14ac:dyDescent="0.25">
      <c r="B85" s="7">
        <v>40109</v>
      </c>
      <c r="C85" s="8">
        <v>4</v>
      </c>
      <c r="D85" t="str">
        <f t="shared" si="3"/>
        <v>Валенки</v>
      </c>
      <c r="E85">
        <v>3</v>
      </c>
      <c r="F85">
        <f t="shared" si="4"/>
        <v>330</v>
      </c>
      <c r="G85">
        <f t="shared" si="5"/>
        <v>990</v>
      </c>
    </row>
    <row r="86" spans="2:7" ht="15.75" x14ac:dyDescent="0.25">
      <c r="B86" s="7">
        <v>40110</v>
      </c>
      <c r="C86" s="8">
        <v>2</v>
      </c>
      <c r="D86" t="str">
        <f t="shared" si="3"/>
        <v>Лапти дубовые</v>
      </c>
      <c r="E86">
        <v>3</v>
      </c>
      <c r="F86">
        <f t="shared" si="4"/>
        <v>240</v>
      </c>
      <c r="G86">
        <f t="shared" si="5"/>
        <v>720</v>
      </c>
    </row>
    <row r="87" spans="2:7" ht="15.75" x14ac:dyDescent="0.25">
      <c r="B87" s="7">
        <v>40110</v>
      </c>
      <c r="C87" s="8">
        <v>3</v>
      </c>
      <c r="D87" t="str">
        <f t="shared" si="3"/>
        <v>Галоши</v>
      </c>
      <c r="E87">
        <v>3</v>
      </c>
      <c r="F87">
        <f t="shared" si="4"/>
        <v>165</v>
      </c>
      <c r="G87">
        <f t="shared" si="5"/>
        <v>495</v>
      </c>
    </row>
    <row r="88" spans="2:7" ht="15.75" x14ac:dyDescent="0.25">
      <c r="B88" s="7">
        <v>40110</v>
      </c>
      <c r="C88" s="8">
        <v>6</v>
      </c>
      <c r="D88" t="str">
        <f t="shared" si="3"/>
        <v>Кепка a 'la Luzkov</v>
      </c>
      <c r="E88">
        <v>3</v>
      </c>
      <c r="F88">
        <f t="shared" si="4"/>
        <v>600</v>
      </c>
      <c r="G88">
        <f t="shared" si="5"/>
        <v>1800</v>
      </c>
    </row>
    <row r="89" spans="2:7" ht="15.75" x14ac:dyDescent="0.25">
      <c r="B89" s="7">
        <v>40111</v>
      </c>
      <c r="C89" s="8">
        <v>1</v>
      </c>
      <c r="D89" t="str">
        <f t="shared" si="3"/>
        <v>Лапти липовые</v>
      </c>
      <c r="E89">
        <v>3</v>
      </c>
      <c r="F89">
        <f t="shared" si="4"/>
        <v>110.00000000000001</v>
      </c>
      <c r="G89">
        <f t="shared" si="5"/>
        <v>330.00000000000006</v>
      </c>
    </row>
    <row r="90" spans="2:7" ht="15.75" x14ac:dyDescent="0.25">
      <c r="B90" s="7">
        <v>40111</v>
      </c>
      <c r="C90" s="8">
        <v>2</v>
      </c>
      <c r="D90" t="str">
        <f t="shared" si="3"/>
        <v>Лапти дубовые</v>
      </c>
      <c r="E90">
        <v>3</v>
      </c>
      <c r="F90">
        <f t="shared" si="4"/>
        <v>240</v>
      </c>
      <c r="G90">
        <f t="shared" si="5"/>
        <v>720</v>
      </c>
    </row>
    <row r="91" spans="2:7" ht="15.75" x14ac:dyDescent="0.25">
      <c r="B91" s="7">
        <v>40112</v>
      </c>
      <c r="C91" s="8">
        <v>1</v>
      </c>
      <c r="D91" t="str">
        <f t="shared" si="3"/>
        <v>Лапти липовые</v>
      </c>
      <c r="E91">
        <v>3</v>
      </c>
      <c r="F91">
        <f t="shared" si="4"/>
        <v>110.00000000000001</v>
      </c>
      <c r="G91">
        <f t="shared" si="5"/>
        <v>330.00000000000006</v>
      </c>
    </row>
    <row r="92" spans="2:7" ht="15.75" x14ac:dyDescent="0.25">
      <c r="B92" s="7">
        <v>40112</v>
      </c>
      <c r="C92" s="8">
        <v>4</v>
      </c>
      <c r="D92" t="str">
        <f t="shared" si="3"/>
        <v>Валенки</v>
      </c>
      <c r="E92">
        <v>3</v>
      </c>
      <c r="F92">
        <f t="shared" si="4"/>
        <v>330</v>
      </c>
      <c r="G92">
        <f t="shared" si="5"/>
        <v>990</v>
      </c>
    </row>
    <row r="93" spans="2:7" ht="15.75" x14ac:dyDescent="0.25">
      <c r="B93" s="7">
        <v>40113</v>
      </c>
      <c r="C93" s="8">
        <v>3</v>
      </c>
      <c r="D93" t="str">
        <f t="shared" si="3"/>
        <v>Галоши</v>
      </c>
      <c r="E93">
        <v>3</v>
      </c>
      <c r="F93">
        <f t="shared" si="4"/>
        <v>165</v>
      </c>
      <c r="G93">
        <f t="shared" si="5"/>
        <v>495</v>
      </c>
    </row>
    <row r="94" spans="2:7" ht="15.75" x14ac:dyDescent="0.25">
      <c r="B94" s="7">
        <v>40115</v>
      </c>
      <c r="C94" s="8">
        <v>4</v>
      </c>
      <c r="D94" t="str">
        <f t="shared" si="3"/>
        <v>Валенки</v>
      </c>
      <c r="E94">
        <v>3</v>
      </c>
      <c r="F94">
        <f t="shared" si="4"/>
        <v>330</v>
      </c>
      <c r="G94">
        <f t="shared" si="5"/>
        <v>990</v>
      </c>
    </row>
    <row r="95" spans="2:7" ht="15.75" x14ac:dyDescent="0.25">
      <c r="B95" s="7">
        <v>40116</v>
      </c>
      <c r="C95" s="8">
        <v>6</v>
      </c>
      <c r="D95" t="str">
        <f t="shared" si="3"/>
        <v>Кепка a 'la Luzkov</v>
      </c>
      <c r="E95">
        <v>3</v>
      </c>
      <c r="F95">
        <f t="shared" si="4"/>
        <v>600</v>
      </c>
      <c r="G95">
        <f t="shared" si="5"/>
        <v>1800</v>
      </c>
    </row>
    <row r="96" spans="2:7" ht="15.75" x14ac:dyDescent="0.25">
      <c r="B96" s="7">
        <v>40087</v>
      </c>
      <c r="C96" s="8">
        <v>6</v>
      </c>
      <c r="D96" t="str">
        <f t="shared" si="3"/>
        <v>Кепка a 'la Luzkov</v>
      </c>
      <c r="E96">
        <v>4</v>
      </c>
      <c r="F96">
        <f t="shared" si="4"/>
        <v>600</v>
      </c>
      <c r="G96">
        <f t="shared" si="5"/>
        <v>2400</v>
      </c>
    </row>
    <row r="97" spans="2:7" ht="15.75" x14ac:dyDescent="0.25">
      <c r="B97" s="7">
        <v>40087</v>
      </c>
      <c r="C97" s="8">
        <v>1</v>
      </c>
      <c r="D97" t="str">
        <f t="shared" si="3"/>
        <v>Лапти липовые</v>
      </c>
      <c r="E97">
        <v>4</v>
      </c>
      <c r="F97">
        <f t="shared" si="4"/>
        <v>110.00000000000001</v>
      </c>
      <c r="G97">
        <f t="shared" si="5"/>
        <v>440.00000000000006</v>
      </c>
    </row>
    <row r="98" spans="2:7" ht="15.75" x14ac:dyDescent="0.25">
      <c r="B98" s="7">
        <v>40088</v>
      </c>
      <c r="C98" s="8">
        <v>2</v>
      </c>
      <c r="D98" t="str">
        <f t="shared" si="3"/>
        <v>Лапти дубовые</v>
      </c>
      <c r="E98">
        <v>4</v>
      </c>
      <c r="F98">
        <f t="shared" si="4"/>
        <v>240</v>
      </c>
      <c r="G98">
        <f t="shared" si="5"/>
        <v>960</v>
      </c>
    </row>
    <row r="99" spans="2:7" ht="15.75" x14ac:dyDescent="0.25">
      <c r="B99" s="7">
        <v>40089</v>
      </c>
      <c r="C99" s="8">
        <v>2</v>
      </c>
      <c r="D99" t="str">
        <f t="shared" si="3"/>
        <v>Лапти дубовые</v>
      </c>
      <c r="E99">
        <v>4</v>
      </c>
      <c r="F99">
        <f t="shared" si="4"/>
        <v>240</v>
      </c>
      <c r="G99">
        <f t="shared" si="5"/>
        <v>960</v>
      </c>
    </row>
    <row r="100" spans="2:7" ht="15.75" x14ac:dyDescent="0.25">
      <c r="B100" s="7">
        <v>40089</v>
      </c>
      <c r="C100" s="8">
        <v>1</v>
      </c>
      <c r="D100" t="str">
        <f t="shared" si="3"/>
        <v>Лапти липовые</v>
      </c>
      <c r="E100">
        <v>4</v>
      </c>
      <c r="F100">
        <f t="shared" si="4"/>
        <v>110.00000000000001</v>
      </c>
      <c r="G100">
        <f t="shared" si="5"/>
        <v>440.00000000000006</v>
      </c>
    </row>
    <row r="101" spans="2:7" ht="15.75" x14ac:dyDescent="0.25">
      <c r="B101" s="7">
        <v>40090</v>
      </c>
      <c r="C101" s="8">
        <v>6</v>
      </c>
      <c r="D101" t="str">
        <f t="shared" si="3"/>
        <v>Кепка a 'la Luzkov</v>
      </c>
      <c r="E101">
        <v>4</v>
      </c>
      <c r="F101">
        <f t="shared" si="4"/>
        <v>600</v>
      </c>
      <c r="G101">
        <f t="shared" si="5"/>
        <v>2400</v>
      </c>
    </row>
    <row r="102" spans="2:7" ht="15.75" x14ac:dyDescent="0.25">
      <c r="B102" s="7">
        <v>40090</v>
      </c>
      <c r="C102" s="8">
        <v>3</v>
      </c>
      <c r="D102" t="str">
        <f t="shared" si="3"/>
        <v>Галоши</v>
      </c>
      <c r="E102">
        <v>4</v>
      </c>
      <c r="F102">
        <f t="shared" si="4"/>
        <v>165</v>
      </c>
      <c r="G102">
        <f t="shared" si="5"/>
        <v>660</v>
      </c>
    </row>
    <row r="103" spans="2:7" ht="15.75" x14ac:dyDescent="0.25">
      <c r="B103" s="7">
        <v>40092</v>
      </c>
      <c r="C103" s="8">
        <v>5</v>
      </c>
      <c r="D103" t="str">
        <f t="shared" si="3"/>
        <v>Кепка a ’la Lenin</v>
      </c>
      <c r="E103">
        <v>4</v>
      </c>
      <c r="F103">
        <f t="shared" si="4"/>
        <v>440.00000000000006</v>
      </c>
      <c r="G103">
        <f t="shared" si="5"/>
        <v>1760.0000000000002</v>
      </c>
    </row>
    <row r="104" spans="2:7" ht="15.75" x14ac:dyDescent="0.25">
      <c r="B104" s="7">
        <v>40094</v>
      </c>
      <c r="C104" s="8">
        <v>6</v>
      </c>
      <c r="D104" t="str">
        <f t="shared" si="3"/>
        <v>Кепка a 'la Luzkov</v>
      </c>
      <c r="E104">
        <v>4</v>
      </c>
      <c r="F104">
        <f t="shared" si="4"/>
        <v>600</v>
      </c>
      <c r="G104">
        <f t="shared" si="5"/>
        <v>2400</v>
      </c>
    </row>
    <row r="105" spans="2:7" ht="15.75" x14ac:dyDescent="0.25">
      <c r="B105" s="7">
        <v>40095</v>
      </c>
      <c r="C105" s="8">
        <v>1</v>
      </c>
      <c r="D105" t="str">
        <f t="shared" si="3"/>
        <v>Лапти липовые</v>
      </c>
      <c r="E105">
        <v>4</v>
      </c>
      <c r="F105">
        <f t="shared" si="4"/>
        <v>110.00000000000001</v>
      </c>
      <c r="G105">
        <f t="shared" si="5"/>
        <v>440.00000000000006</v>
      </c>
    </row>
    <row r="106" spans="2:7" ht="15.75" x14ac:dyDescent="0.25">
      <c r="B106" s="7">
        <v>40096</v>
      </c>
      <c r="C106" s="8">
        <v>4</v>
      </c>
      <c r="D106" t="str">
        <f t="shared" si="3"/>
        <v>Валенки</v>
      </c>
      <c r="E106">
        <v>4</v>
      </c>
      <c r="F106">
        <f t="shared" si="4"/>
        <v>330</v>
      </c>
      <c r="G106">
        <f t="shared" si="5"/>
        <v>1320</v>
      </c>
    </row>
    <row r="107" spans="2:7" ht="15.75" x14ac:dyDescent="0.25">
      <c r="B107" s="7">
        <v>40096</v>
      </c>
      <c r="C107" s="8">
        <v>5</v>
      </c>
      <c r="D107" t="str">
        <f t="shared" si="3"/>
        <v>Кепка a ’la Lenin</v>
      </c>
      <c r="E107">
        <v>4</v>
      </c>
      <c r="F107">
        <f t="shared" si="4"/>
        <v>440.00000000000006</v>
      </c>
      <c r="G107">
        <f t="shared" si="5"/>
        <v>1760.0000000000002</v>
      </c>
    </row>
    <row r="108" spans="2:7" ht="15.75" x14ac:dyDescent="0.25">
      <c r="B108" s="7">
        <v>40098</v>
      </c>
      <c r="C108" s="8">
        <v>5</v>
      </c>
      <c r="D108" t="str">
        <f t="shared" si="3"/>
        <v>Кепка a ’la Lenin</v>
      </c>
      <c r="E108">
        <v>4</v>
      </c>
      <c r="F108">
        <f t="shared" si="4"/>
        <v>440.00000000000006</v>
      </c>
      <c r="G108">
        <f t="shared" si="5"/>
        <v>1760.0000000000002</v>
      </c>
    </row>
    <row r="109" spans="2:7" ht="15.75" x14ac:dyDescent="0.25">
      <c r="B109" s="7">
        <v>40101</v>
      </c>
      <c r="C109" s="8">
        <v>6</v>
      </c>
      <c r="D109" t="str">
        <f t="shared" si="3"/>
        <v>Кепка a 'la Luzkov</v>
      </c>
      <c r="E109">
        <v>4</v>
      </c>
      <c r="F109">
        <f t="shared" si="4"/>
        <v>600</v>
      </c>
      <c r="G109">
        <f t="shared" si="5"/>
        <v>2400</v>
      </c>
    </row>
    <row r="110" spans="2:7" ht="15.75" x14ac:dyDescent="0.25">
      <c r="B110" s="7">
        <v>40102</v>
      </c>
      <c r="C110" s="8">
        <v>6</v>
      </c>
      <c r="D110" t="str">
        <f t="shared" si="3"/>
        <v>Кепка a 'la Luzkov</v>
      </c>
      <c r="E110">
        <v>4</v>
      </c>
      <c r="F110">
        <f t="shared" si="4"/>
        <v>600</v>
      </c>
      <c r="G110">
        <f t="shared" si="5"/>
        <v>2400</v>
      </c>
    </row>
    <row r="111" spans="2:7" ht="15.75" x14ac:dyDescent="0.25">
      <c r="B111" s="7">
        <v>40102</v>
      </c>
      <c r="C111" s="8">
        <v>5</v>
      </c>
      <c r="D111" t="str">
        <f t="shared" si="3"/>
        <v>Кепка a ’la Lenin</v>
      </c>
      <c r="E111">
        <v>4</v>
      </c>
      <c r="F111">
        <f t="shared" si="4"/>
        <v>440.00000000000006</v>
      </c>
      <c r="G111">
        <f t="shared" si="5"/>
        <v>1760.0000000000002</v>
      </c>
    </row>
    <row r="112" spans="2:7" ht="15.75" x14ac:dyDescent="0.25">
      <c r="B112" s="7">
        <v>40103</v>
      </c>
      <c r="C112" s="8">
        <v>3</v>
      </c>
      <c r="D112" t="str">
        <f t="shared" si="3"/>
        <v>Галоши</v>
      </c>
      <c r="E112">
        <v>4</v>
      </c>
      <c r="F112">
        <f t="shared" si="4"/>
        <v>165</v>
      </c>
      <c r="G112">
        <f t="shared" si="5"/>
        <v>660</v>
      </c>
    </row>
    <row r="113" spans="2:7" ht="15.75" x14ac:dyDescent="0.25">
      <c r="B113" s="7">
        <v>40104</v>
      </c>
      <c r="C113" s="8">
        <v>6</v>
      </c>
      <c r="D113" t="str">
        <f t="shared" si="3"/>
        <v>Кепка a 'la Luzkov</v>
      </c>
      <c r="E113">
        <v>4</v>
      </c>
      <c r="F113">
        <f t="shared" si="4"/>
        <v>600</v>
      </c>
      <c r="G113">
        <f t="shared" si="5"/>
        <v>2400</v>
      </c>
    </row>
    <row r="114" spans="2:7" ht="15.75" x14ac:dyDescent="0.25">
      <c r="B114" s="7">
        <v>40104</v>
      </c>
      <c r="C114" s="8">
        <v>1</v>
      </c>
      <c r="D114" t="str">
        <f t="shared" si="3"/>
        <v>Лапти липовые</v>
      </c>
      <c r="E114">
        <v>4</v>
      </c>
      <c r="F114">
        <f t="shared" si="4"/>
        <v>110.00000000000001</v>
      </c>
      <c r="G114">
        <f t="shared" si="5"/>
        <v>440.00000000000006</v>
      </c>
    </row>
    <row r="115" spans="2:7" ht="15.75" x14ac:dyDescent="0.25">
      <c r="B115" s="7">
        <v>40105</v>
      </c>
      <c r="C115" s="8">
        <v>1</v>
      </c>
      <c r="D115" t="str">
        <f t="shared" si="3"/>
        <v>Лапти липовые</v>
      </c>
      <c r="E115">
        <v>4</v>
      </c>
      <c r="F115">
        <f t="shared" si="4"/>
        <v>110.00000000000001</v>
      </c>
      <c r="G115">
        <f t="shared" si="5"/>
        <v>440.00000000000006</v>
      </c>
    </row>
    <row r="116" spans="2:7" ht="15.75" x14ac:dyDescent="0.25">
      <c r="B116" s="7">
        <v>40105</v>
      </c>
      <c r="C116" s="8">
        <v>5</v>
      </c>
      <c r="D116" t="str">
        <f t="shared" si="3"/>
        <v>Кепка a ’la Lenin</v>
      </c>
      <c r="E116">
        <v>4</v>
      </c>
      <c r="F116">
        <f t="shared" si="4"/>
        <v>440.00000000000006</v>
      </c>
      <c r="G116">
        <f t="shared" si="5"/>
        <v>1760.0000000000002</v>
      </c>
    </row>
    <row r="117" spans="2:7" ht="15.75" x14ac:dyDescent="0.25">
      <c r="B117" s="7">
        <v>40105</v>
      </c>
      <c r="C117" s="8">
        <v>5</v>
      </c>
      <c r="D117" t="str">
        <f t="shared" si="3"/>
        <v>Кепка a ’la Lenin</v>
      </c>
      <c r="E117">
        <v>4</v>
      </c>
      <c r="F117">
        <f t="shared" si="4"/>
        <v>440.00000000000006</v>
      </c>
      <c r="G117">
        <f t="shared" si="5"/>
        <v>1760.0000000000002</v>
      </c>
    </row>
    <row r="118" spans="2:7" ht="15.75" x14ac:dyDescent="0.25">
      <c r="B118" s="7">
        <v>40107</v>
      </c>
      <c r="C118" s="8">
        <v>6</v>
      </c>
      <c r="D118" t="str">
        <f t="shared" si="3"/>
        <v>Кепка a 'la Luzkov</v>
      </c>
      <c r="E118">
        <v>4</v>
      </c>
      <c r="F118">
        <f t="shared" si="4"/>
        <v>600</v>
      </c>
      <c r="G118">
        <f t="shared" si="5"/>
        <v>2400</v>
      </c>
    </row>
    <row r="119" spans="2:7" ht="15.75" x14ac:dyDescent="0.25">
      <c r="B119" s="7">
        <v>40107</v>
      </c>
      <c r="C119" s="8">
        <v>4</v>
      </c>
      <c r="D119" t="str">
        <f t="shared" si="3"/>
        <v>Валенки</v>
      </c>
      <c r="E119">
        <v>4</v>
      </c>
      <c r="F119">
        <f t="shared" si="4"/>
        <v>330</v>
      </c>
      <c r="G119">
        <f t="shared" si="5"/>
        <v>1320</v>
      </c>
    </row>
    <row r="120" spans="2:7" ht="15.75" x14ac:dyDescent="0.25">
      <c r="B120" s="7">
        <v>40110</v>
      </c>
      <c r="C120" s="8">
        <v>6</v>
      </c>
      <c r="D120" t="str">
        <f t="shared" si="3"/>
        <v>Кепка a 'la Luzkov</v>
      </c>
      <c r="E120">
        <v>4</v>
      </c>
      <c r="F120">
        <f t="shared" si="4"/>
        <v>600</v>
      </c>
      <c r="G120">
        <f t="shared" si="5"/>
        <v>2400</v>
      </c>
    </row>
    <row r="121" spans="2:7" ht="15.75" x14ac:dyDescent="0.25">
      <c r="B121" s="7">
        <v>40112</v>
      </c>
      <c r="C121" s="8">
        <v>3</v>
      </c>
      <c r="D121" t="str">
        <f t="shared" si="3"/>
        <v>Галоши</v>
      </c>
      <c r="E121">
        <v>4</v>
      </c>
      <c r="F121">
        <f t="shared" si="4"/>
        <v>165</v>
      </c>
      <c r="G121">
        <f t="shared" si="5"/>
        <v>660</v>
      </c>
    </row>
    <row r="122" spans="2:7" ht="15.75" x14ac:dyDescent="0.25">
      <c r="B122" s="7">
        <v>40113</v>
      </c>
      <c r="C122" s="8">
        <v>3</v>
      </c>
      <c r="D122" t="str">
        <f t="shared" si="3"/>
        <v>Галоши</v>
      </c>
      <c r="E122">
        <v>4</v>
      </c>
      <c r="F122">
        <f t="shared" si="4"/>
        <v>165</v>
      </c>
      <c r="G122">
        <f t="shared" si="5"/>
        <v>660</v>
      </c>
    </row>
    <row r="123" spans="2:7" ht="15.75" x14ac:dyDescent="0.25">
      <c r="B123" s="7">
        <v>40115</v>
      </c>
      <c r="C123" s="8">
        <v>3</v>
      </c>
      <c r="D123" t="str">
        <f t="shared" si="3"/>
        <v>Галоши</v>
      </c>
      <c r="E123">
        <v>4</v>
      </c>
      <c r="F123">
        <f t="shared" si="4"/>
        <v>165</v>
      </c>
      <c r="G123">
        <f t="shared" si="5"/>
        <v>660</v>
      </c>
    </row>
    <row r="124" spans="2:7" ht="15.75" x14ac:dyDescent="0.25">
      <c r="B124" s="7">
        <v>40116</v>
      </c>
      <c r="C124" s="8">
        <v>2</v>
      </c>
      <c r="D124" t="str">
        <f t="shared" si="3"/>
        <v>Лапти дубовые</v>
      </c>
      <c r="E124">
        <v>4</v>
      </c>
      <c r="F124">
        <f t="shared" si="4"/>
        <v>240</v>
      </c>
      <c r="G124">
        <f t="shared" si="5"/>
        <v>960</v>
      </c>
    </row>
    <row r="125" spans="2:7" ht="15.75" x14ac:dyDescent="0.25">
      <c r="B125" s="7">
        <v>40087</v>
      </c>
      <c r="C125" s="8">
        <v>2</v>
      </c>
      <c r="D125" t="str">
        <f t="shared" si="3"/>
        <v>Лапти дубовые</v>
      </c>
      <c r="E125">
        <v>5</v>
      </c>
      <c r="F125">
        <f t="shared" si="4"/>
        <v>240</v>
      </c>
      <c r="G125">
        <f t="shared" si="5"/>
        <v>1200</v>
      </c>
    </row>
    <row r="126" spans="2:7" ht="15.75" x14ac:dyDescent="0.25">
      <c r="B126" s="7">
        <v>40090</v>
      </c>
      <c r="C126" s="8">
        <v>6</v>
      </c>
      <c r="D126" t="str">
        <f t="shared" si="3"/>
        <v>Кепка a 'la Luzkov</v>
      </c>
      <c r="E126">
        <v>5</v>
      </c>
      <c r="F126">
        <f t="shared" si="4"/>
        <v>600</v>
      </c>
      <c r="G126">
        <f t="shared" si="5"/>
        <v>3000</v>
      </c>
    </row>
    <row r="127" spans="2:7" ht="15.75" x14ac:dyDescent="0.25">
      <c r="B127" s="7">
        <v>40092</v>
      </c>
      <c r="C127" s="8">
        <v>6</v>
      </c>
      <c r="D127" t="str">
        <f t="shared" si="3"/>
        <v>Кепка a 'la Luzkov</v>
      </c>
      <c r="E127">
        <v>5</v>
      </c>
      <c r="F127">
        <f t="shared" si="4"/>
        <v>600</v>
      </c>
      <c r="G127">
        <f t="shared" si="5"/>
        <v>3000</v>
      </c>
    </row>
    <row r="128" spans="2:7" ht="15.75" x14ac:dyDescent="0.25">
      <c r="B128" s="7">
        <v>40093</v>
      </c>
      <c r="C128" s="8">
        <v>5</v>
      </c>
      <c r="D128" t="str">
        <f t="shared" si="3"/>
        <v>Кепка a ’la Lenin</v>
      </c>
      <c r="E128">
        <v>5</v>
      </c>
      <c r="F128">
        <f t="shared" si="4"/>
        <v>440.00000000000006</v>
      </c>
      <c r="G128">
        <f t="shared" si="5"/>
        <v>2200.0000000000005</v>
      </c>
    </row>
    <row r="129" spans="2:7" ht="15.75" x14ac:dyDescent="0.25">
      <c r="B129" s="7">
        <v>40094</v>
      </c>
      <c r="C129" s="8">
        <v>4</v>
      </c>
      <c r="D129" t="str">
        <f t="shared" si="3"/>
        <v>Валенки</v>
      </c>
      <c r="E129">
        <v>5</v>
      </c>
      <c r="F129">
        <f t="shared" si="4"/>
        <v>330</v>
      </c>
      <c r="G129">
        <f t="shared" si="5"/>
        <v>1650</v>
      </c>
    </row>
    <row r="130" spans="2:7" ht="15.75" x14ac:dyDescent="0.25">
      <c r="B130" s="7">
        <v>40094</v>
      </c>
      <c r="C130" s="8">
        <v>3</v>
      </c>
      <c r="D130" t="str">
        <f t="shared" si="3"/>
        <v>Галоши</v>
      </c>
      <c r="E130">
        <v>5</v>
      </c>
      <c r="F130">
        <f t="shared" si="4"/>
        <v>165</v>
      </c>
      <c r="G130">
        <f t="shared" si="5"/>
        <v>825</v>
      </c>
    </row>
    <row r="131" spans="2:7" ht="15.75" x14ac:dyDescent="0.25">
      <c r="B131" s="7">
        <v>40097</v>
      </c>
      <c r="C131" s="8">
        <v>5</v>
      </c>
      <c r="D131" t="str">
        <f t="shared" ref="D131:D194" si="6">VLOOKUP(C131,Справочник_товары,2)</f>
        <v>Кепка a ’la Lenin</v>
      </c>
      <c r="E131">
        <v>5</v>
      </c>
      <c r="F131">
        <f t="shared" ref="F131:F194" si="7" xml:space="preserve"> VLOOKUP(C131, Справочник_товары,4) * (1 + VLOOKUP(C131, Справочник_товары,5))</f>
        <v>440.00000000000006</v>
      </c>
      <c r="G131">
        <f t="shared" ref="G131:G194" si="8" xml:space="preserve"> E131 * F131</f>
        <v>2200.0000000000005</v>
      </c>
    </row>
    <row r="132" spans="2:7" ht="15.75" x14ac:dyDescent="0.25">
      <c r="B132" s="7">
        <v>40098</v>
      </c>
      <c r="C132" s="8">
        <v>5</v>
      </c>
      <c r="D132" t="str">
        <f t="shared" si="6"/>
        <v>Кепка a ’la Lenin</v>
      </c>
      <c r="E132">
        <v>5</v>
      </c>
      <c r="F132">
        <f t="shared" si="7"/>
        <v>440.00000000000006</v>
      </c>
      <c r="G132">
        <f t="shared" si="8"/>
        <v>2200.0000000000005</v>
      </c>
    </row>
    <row r="133" spans="2:7" ht="15.75" x14ac:dyDescent="0.25">
      <c r="B133" s="7">
        <v>40100</v>
      </c>
      <c r="C133" s="8">
        <v>4</v>
      </c>
      <c r="D133" t="str">
        <f t="shared" si="6"/>
        <v>Валенки</v>
      </c>
      <c r="E133">
        <v>5</v>
      </c>
      <c r="F133">
        <f t="shared" si="7"/>
        <v>330</v>
      </c>
      <c r="G133">
        <f t="shared" si="8"/>
        <v>1650</v>
      </c>
    </row>
    <row r="134" spans="2:7" ht="15.75" x14ac:dyDescent="0.25">
      <c r="B134" s="7">
        <v>40101</v>
      </c>
      <c r="C134" s="8">
        <v>5</v>
      </c>
      <c r="D134" t="str">
        <f t="shared" si="6"/>
        <v>Кепка a ’la Lenin</v>
      </c>
      <c r="E134">
        <v>5</v>
      </c>
      <c r="F134">
        <f t="shared" si="7"/>
        <v>440.00000000000006</v>
      </c>
      <c r="G134">
        <f t="shared" si="8"/>
        <v>2200.0000000000005</v>
      </c>
    </row>
    <row r="135" spans="2:7" ht="15.75" x14ac:dyDescent="0.25">
      <c r="B135" s="7">
        <v>40102</v>
      </c>
      <c r="C135" s="8">
        <v>4</v>
      </c>
      <c r="D135" t="str">
        <f t="shared" si="6"/>
        <v>Валенки</v>
      </c>
      <c r="E135">
        <v>5</v>
      </c>
      <c r="F135">
        <f t="shared" si="7"/>
        <v>330</v>
      </c>
      <c r="G135">
        <f t="shared" si="8"/>
        <v>1650</v>
      </c>
    </row>
    <row r="136" spans="2:7" ht="15.75" x14ac:dyDescent="0.25">
      <c r="B136" s="7">
        <v>40102</v>
      </c>
      <c r="C136" s="8">
        <v>5</v>
      </c>
      <c r="D136" t="str">
        <f t="shared" si="6"/>
        <v>Кепка a ’la Lenin</v>
      </c>
      <c r="E136">
        <v>5</v>
      </c>
      <c r="F136">
        <f t="shared" si="7"/>
        <v>440.00000000000006</v>
      </c>
      <c r="G136">
        <f t="shared" si="8"/>
        <v>2200.0000000000005</v>
      </c>
    </row>
    <row r="137" spans="2:7" ht="15.75" x14ac:dyDescent="0.25">
      <c r="B137" s="7">
        <v>40104</v>
      </c>
      <c r="C137" s="8">
        <v>4</v>
      </c>
      <c r="D137" t="str">
        <f t="shared" si="6"/>
        <v>Валенки</v>
      </c>
      <c r="E137">
        <v>5</v>
      </c>
      <c r="F137">
        <f t="shared" si="7"/>
        <v>330</v>
      </c>
      <c r="G137">
        <f t="shared" si="8"/>
        <v>1650</v>
      </c>
    </row>
    <row r="138" spans="2:7" ht="15.75" x14ac:dyDescent="0.25">
      <c r="B138" s="7">
        <v>40105</v>
      </c>
      <c r="C138" s="8">
        <v>6</v>
      </c>
      <c r="D138" t="str">
        <f t="shared" si="6"/>
        <v>Кепка a 'la Luzkov</v>
      </c>
      <c r="E138">
        <v>5</v>
      </c>
      <c r="F138">
        <f t="shared" si="7"/>
        <v>600</v>
      </c>
      <c r="G138">
        <f t="shared" si="8"/>
        <v>3000</v>
      </c>
    </row>
    <row r="139" spans="2:7" ht="15.75" x14ac:dyDescent="0.25">
      <c r="B139" s="7">
        <v>40107</v>
      </c>
      <c r="C139" s="8">
        <v>3</v>
      </c>
      <c r="D139" t="str">
        <f t="shared" si="6"/>
        <v>Галоши</v>
      </c>
      <c r="E139">
        <v>5</v>
      </c>
      <c r="F139">
        <f t="shared" si="7"/>
        <v>165</v>
      </c>
      <c r="G139">
        <f t="shared" si="8"/>
        <v>825</v>
      </c>
    </row>
    <row r="140" spans="2:7" ht="15.75" x14ac:dyDescent="0.25">
      <c r="B140" s="7">
        <v>40107</v>
      </c>
      <c r="C140" s="8">
        <v>5</v>
      </c>
      <c r="D140" t="str">
        <f t="shared" si="6"/>
        <v>Кепка a ’la Lenin</v>
      </c>
      <c r="E140">
        <v>5</v>
      </c>
      <c r="F140">
        <f t="shared" si="7"/>
        <v>440.00000000000006</v>
      </c>
      <c r="G140">
        <f t="shared" si="8"/>
        <v>2200.0000000000005</v>
      </c>
    </row>
    <row r="141" spans="2:7" ht="15.75" x14ac:dyDescent="0.25">
      <c r="B141" s="7">
        <v>40107</v>
      </c>
      <c r="C141" s="8">
        <v>1</v>
      </c>
      <c r="D141" t="str">
        <f t="shared" si="6"/>
        <v>Лапти липовые</v>
      </c>
      <c r="E141">
        <v>5</v>
      </c>
      <c r="F141">
        <f t="shared" si="7"/>
        <v>110.00000000000001</v>
      </c>
      <c r="G141">
        <f t="shared" si="8"/>
        <v>550.00000000000011</v>
      </c>
    </row>
    <row r="142" spans="2:7" ht="15.75" x14ac:dyDescent="0.25">
      <c r="B142" s="7">
        <v>40108</v>
      </c>
      <c r="C142" s="8">
        <v>6</v>
      </c>
      <c r="D142" t="str">
        <f t="shared" si="6"/>
        <v>Кепка a 'la Luzkov</v>
      </c>
      <c r="E142">
        <v>5</v>
      </c>
      <c r="F142">
        <f t="shared" si="7"/>
        <v>600</v>
      </c>
      <c r="G142">
        <f t="shared" si="8"/>
        <v>3000</v>
      </c>
    </row>
    <row r="143" spans="2:7" ht="15.75" x14ac:dyDescent="0.25">
      <c r="B143" s="7">
        <v>40108</v>
      </c>
      <c r="C143" s="8">
        <v>1</v>
      </c>
      <c r="D143" t="str">
        <f t="shared" si="6"/>
        <v>Лапти липовые</v>
      </c>
      <c r="E143">
        <v>5</v>
      </c>
      <c r="F143">
        <f t="shared" si="7"/>
        <v>110.00000000000001</v>
      </c>
      <c r="G143">
        <f t="shared" si="8"/>
        <v>550.00000000000011</v>
      </c>
    </row>
    <row r="144" spans="2:7" ht="15.75" x14ac:dyDescent="0.25">
      <c r="B144" s="7">
        <v>40109</v>
      </c>
      <c r="C144" s="8">
        <v>3</v>
      </c>
      <c r="D144" t="str">
        <f t="shared" si="6"/>
        <v>Галоши</v>
      </c>
      <c r="E144">
        <v>5</v>
      </c>
      <c r="F144">
        <f t="shared" si="7"/>
        <v>165</v>
      </c>
      <c r="G144">
        <f t="shared" si="8"/>
        <v>825</v>
      </c>
    </row>
    <row r="145" spans="2:7" ht="15.75" x14ac:dyDescent="0.25">
      <c r="B145" s="7">
        <v>40110</v>
      </c>
      <c r="C145" s="8">
        <v>2</v>
      </c>
      <c r="D145" t="str">
        <f t="shared" si="6"/>
        <v>Лапти дубовые</v>
      </c>
      <c r="E145">
        <v>5</v>
      </c>
      <c r="F145">
        <f t="shared" si="7"/>
        <v>240</v>
      </c>
      <c r="G145">
        <f t="shared" si="8"/>
        <v>1200</v>
      </c>
    </row>
    <row r="146" spans="2:7" ht="15.75" x14ac:dyDescent="0.25">
      <c r="B146" s="7">
        <v>40111</v>
      </c>
      <c r="C146" s="8">
        <v>3</v>
      </c>
      <c r="D146" t="str">
        <f t="shared" si="6"/>
        <v>Галоши</v>
      </c>
      <c r="E146">
        <v>5</v>
      </c>
      <c r="F146">
        <f t="shared" si="7"/>
        <v>165</v>
      </c>
      <c r="G146">
        <f t="shared" si="8"/>
        <v>825</v>
      </c>
    </row>
    <row r="147" spans="2:7" ht="15.75" x14ac:dyDescent="0.25">
      <c r="B147" s="7">
        <v>40112</v>
      </c>
      <c r="C147" s="8">
        <v>5</v>
      </c>
      <c r="D147" t="str">
        <f t="shared" si="6"/>
        <v>Кепка a ’la Lenin</v>
      </c>
      <c r="E147">
        <v>5</v>
      </c>
      <c r="F147">
        <f t="shared" si="7"/>
        <v>440.00000000000006</v>
      </c>
      <c r="G147">
        <f t="shared" si="8"/>
        <v>2200.0000000000005</v>
      </c>
    </row>
    <row r="148" spans="2:7" ht="15.75" x14ac:dyDescent="0.25">
      <c r="B148" s="7">
        <v>40112</v>
      </c>
      <c r="C148" s="8">
        <v>6</v>
      </c>
      <c r="D148" t="str">
        <f t="shared" si="6"/>
        <v>Кепка a 'la Luzkov</v>
      </c>
      <c r="E148">
        <v>5</v>
      </c>
      <c r="F148">
        <f t="shared" si="7"/>
        <v>600</v>
      </c>
      <c r="G148">
        <f t="shared" si="8"/>
        <v>3000</v>
      </c>
    </row>
    <row r="149" spans="2:7" ht="15.75" x14ac:dyDescent="0.25">
      <c r="B149" s="7">
        <v>40113</v>
      </c>
      <c r="C149" s="8">
        <v>2</v>
      </c>
      <c r="D149" t="str">
        <f t="shared" si="6"/>
        <v>Лапти дубовые</v>
      </c>
      <c r="E149">
        <v>5</v>
      </c>
      <c r="F149">
        <f t="shared" si="7"/>
        <v>240</v>
      </c>
      <c r="G149">
        <f t="shared" si="8"/>
        <v>1200</v>
      </c>
    </row>
    <row r="150" spans="2:7" ht="15.75" x14ac:dyDescent="0.25">
      <c r="B150" s="7">
        <v>40113</v>
      </c>
      <c r="C150" s="8">
        <v>4</v>
      </c>
      <c r="D150" t="str">
        <f t="shared" si="6"/>
        <v>Валенки</v>
      </c>
      <c r="E150">
        <v>5</v>
      </c>
      <c r="F150">
        <f t="shared" si="7"/>
        <v>330</v>
      </c>
      <c r="G150">
        <f t="shared" si="8"/>
        <v>1650</v>
      </c>
    </row>
    <row r="151" spans="2:7" ht="15.75" x14ac:dyDescent="0.25">
      <c r="B151" s="7">
        <v>40114</v>
      </c>
      <c r="C151" s="8">
        <v>5</v>
      </c>
      <c r="D151" t="str">
        <f t="shared" si="6"/>
        <v>Кепка a ’la Lenin</v>
      </c>
      <c r="E151">
        <v>5</v>
      </c>
      <c r="F151">
        <f t="shared" si="7"/>
        <v>440.00000000000006</v>
      </c>
      <c r="G151">
        <f t="shared" si="8"/>
        <v>2200.0000000000005</v>
      </c>
    </row>
    <row r="152" spans="2:7" ht="15.75" x14ac:dyDescent="0.25">
      <c r="B152" s="7">
        <v>40114</v>
      </c>
      <c r="C152" s="8">
        <v>5</v>
      </c>
      <c r="D152" t="str">
        <f t="shared" si="6"/>
        <v>Кепка a ’la Lenin</v>
      </c>
      <c r="E152">
        <v>5</v>
      </c>
      <c r="F152">
        <f t="shared" si="7"/>
        <v>440.00000000000006</v>
      </c>
      <c r="G152">
        <f t="shared" si="8"/>
        <v>2200.0000000000005</v>
      </c>
    </row>
    <row r="153" spans="2:7" ht="15.75" x14ac:dyDescent="0.25">
      <c r="B153" s="7">
        <v>40115</v>
      </c>
      <c r="C153" s="8">
        <v>1</v>
      </c>
      <c r="D153" t="str">
        <f t="shared" si="6"/>
        <v>Лапти липовые</v>
      </c>
      <c r="E153">
        <v>5</v>
      </c>
      <c r="F153">
        <f t="shared" si="7"/>
        <v>110.00000000000001</v>
      </c>
      <c r="G153">
        <f t="shared" si="8"/>
        <v>550.00000000000011</v>
      </c>
    </row>
    <row r="154" spans="2:7" ht="15.75" x14ac:dyDescent="0.25">
      <c r="B154" s="7">
        <v>40087</v>
      </c>
      <c r="C154" s="8">
        <v>5</v>
      </c>
      <c r="D154" t="str">
        <f t="shared" si="6"/>
        <v>Кепка a ’la Lenin</v>
      </c>
      <c r="E154">
        <v>6</v>
      </c>
      <c r="F154">
        <f t="shared" si="7"/>
        <v>440.00000000000006</v>
      </c>
      <c r="G154">
        <f t="shared" si="8"/>
        <v>2640.0000000000005</v>
      </c>
    </row>
    <row r="155" spans="2:7" ht="15.75" x14ac:dyDescent="0.25">
      <c r="B155" s="7">
        <v>40087</v>
      </c>
      <c r="C155" s="8">
        <v>4</v>
      </c>
      <c r="D155" t="str">
        <f t="shared" si="6"/>
        <v>Валенки</v>
      </c>
      <c r="E155">
        <v>6</v>
      </c>
      <c r="F155">
        <f t="shared" si="7"/>
        <v>330</v>
      </c>
      <c r="G155">
        <f t="shared" si="8"/>
        <v>1980</v>
      </c>
    </row>
    <row r="156" spans="2:7" ht="15.75" x14ac:dyDescent="0.25">
      <c r="B156" s="7">
        <v>40088</v>
      </c>
      <c r="C156" s="8">
        <v>5</v>
      </c>
      <c r="D156" t="str">
        <f t="shared" si="6"/>
        <v>Кепка a ’la Lenin</v>
      </c>
      <c r="E156">
        <v>6</v>
      </c>
      <c r="F156">
        <f t="shared" si="7"/>
        <v>440.00000000000006</v>
      </c>
      <c r="G156">
        <f t="shared" si="8"/>
        <v>2640.0000000000005</v>
      </c>
    </row>
    <row r="157" spans="2:7" ht="15.75" x14ac:dyDescent="0.25">
      <c r="B157" s="7">
        <v>40088</v>
      </c>
      <c r="C157" s="8">
        <v>5</v>
      </c>
      <c r="D157" t="str">
        <f t="shared" si="6"/>
        <v>Кепка a ’la Lenin</v>
      </c>
      <c r="E157">
        <v>6</v>
      </c>
      <c r="F157">
        <f t="shared" si="7"/>
        <v>440.00000000000006</v>
      </c>
      <c r="G157">
        <f t="shared" si="8"/>
        <v>2640.0000000000005</v>
      </c>
    </row>
    <row r="158" spans="2:7" ht="15.75" x14ac:dyDescent="0.25">
      <c r="B158" s="7">
        <v>40090</v>
      </c>
      <c r="C158" s="8">
        <v>1</v>
      </c>
      <c r="D158" t="str">
        <f t="shared" si="6"/>
        <v>Лапти липовые</v>
      </c>
      <c r="E158">
        <v>6</v>
      </c>
      <c r="F158">
        <f t="shared" si="7"/>
        <v>110.00000000000001</v>
      </c>
      <c r="G158">
        <f t="shared" si="8"/>
        <v>660.00000000000011</v>
      </c>
    </row>
    <row r="159" spans="2:7" ht="15.75" x14ac:dyDescent="0.25">
      <c r="B159" s="7">
        <v>40090</v>
      </c>
      <c r="C159" s="8">
        <v>4</v>
      </c>
      <c r="D159" t="str">
        <f t="shared" si="6"/>
        <v>Валенки</v>
      </c>
      <c r="E159">
        <v>6</v>
      </c>
      <c r="F159">
        <f t="shared" si="7"/>
        <v>330</v>
      </c>
      <c r="G159">
        <f t="shared" si="8"/>
        <v>1980</v>
      </c>
    </row>
    <row r="160" spans="2:7" ht="15.75" x14ac:dyDescent="0.25">
      <c r="B160" s="7">
        <v>40091</v>
      </c>
      <c r="C160" s="8">
        <v>1</v>
      </c>
      <c r="D160" t="str">
        <f t="shared" si="6"/>
        <v>Лапти липовые</v>
      </c>
      <c r="E160">
        <v>6</v>
      </c>
      <c r="F160">
        <f t="shared" si="7"/>
        <v>110.00000000000001</v>
      </c>
      <c r="G160">
        <f t="shared" si="8"/>
        <v>660.00000000000011</v>
      </c>
    </row>
    <row r="161" spans="2:7" ht="15.75" x14ac:dyDescent="0.25">
      <c r="B161" s="7">
        <v>40093</v>
      </c>
      <c r="C161" s="8">
        <v>4</v>
      </c>
      <c r="D161" t="str">
        <f t="shared" si="6"/>
        <v>Валенки</v>
      </c>
      <c r="E161">
        <v>6</v>
      </c>
      <c r="F161">
        <f t="shared" si="7"/>
        <v>330</v>
      </c>
      <c r="G161">
        <f t="shared" si="8"/>
        <v>1980</v>
      </c>
    </row>
    <row r="162" spans="2:7" ht="15.75" x14ac:dyDescent="0.25">
      <c r="B162" s="7">
        <v>40093</v>
      </c>
      <c r="C162" s="8">
        <v>4</v>
      </c>
      <c r="D162" t="str">
        <f t="shared" si="6"/>
        <v>Валенки</v>
      </c>
      <c r="E162">
        <v>6</v>
      </c>
      <c r="F162">
        <f t="shared" si="7"/>
        <v>330</v>
      </c>
      <c r="G162">
        <f t="shared" si="8"/>
        <v>1980</v>
      </c>
    </row>
    <row r="163" spans="2:7" ht="15.75" x14ac:dyDescent="0.25">
      <c r="B163" s="7">
        <v>40096</v>
      </c>
      <c r="C163" s="8">
        <v>4</v>
      </c>
      <c r="D163" t="str">
        <f t="shared" si="6"/>
        <v>Валенки</v>
      </c>
      <c r="E163">
        <v>6</v>
      </c>
      <c r="F163">
        <f t="shared" si="7"/>
        <v>330</v>
      </c>
      <c r="G163">
        <f t="shared" si="8"/>
        <v>1980</v>
      </c>
    </row>
    <row r="164" spans="2:7" ht="15.75" x14ac:dyDescent="0.25">
      <c r="B164" s="7">
        <v>40096</v>
      </c>
      <c r="C164" s="8">
        <v>5</v>
      </c>
      <c r="D164" t="str">
        <f t="shared" si="6"/>
        <v>Кепка a ’la Lenin</v>
      </c>
      <c r="E164">
        <v>6</v>
      </c>
      <c r="F164">
        <f t="shared" si="7"/>
        <v>440.00000000000006</v>
      </c>
      <c r="G164">
        <f t="shared" si="8"/>
        <v>2640.0000000000005</v>
      </c>
    </row>
    <row r="165" spans="2:7" ht="15.75" x14ac:dyDescent="0.25">
      <c r="B165" s="7">
        <v>40097</v>
      </c>
      <c r="C165" s="8">
        <v>5</v>
      </c>
      <c r="D165" t="str">
        <f t="shared" si="6"/>
        <v>Кепка a ’la Lenin</v>
      </c>
      <c r="E165">
        <v>6</v>
      </c>
      <c r="F165">
        <f t="shared" si="7"/>
        <v>440.00000000000006</v>
      </c>
      <c r="G165">
        <f t="shared" si="8"/>
        <v>2640.0000000000005</v>
      </c>
    </row>
    <row r="166" spans="2:7" ht="15.75" x14ac:dyDescent="0.25">
      <c r="B166" s="7">
        <v>40097</v>
      </c>
      <c r="C166" s="8">
        <v>5</v>
      </c>
      <c r="D166" t="str">
        <f t="shared" si="6"/>
        <v>Кепка a ’la Lenin</v>
      </c>
      <c r="E166">
        <v>6</v>
      </c>
      <c r="F166">
        <f t="shared" si="7"/>
        <v>440.00000000000006</v>
      </c>
      <c r="G166">
        <f t="shared" si="8"/>
        <v>2640.0000000000005</v>
      </c>
    </row>
    <row r="167" spans="2:7" ht="15.75" x14ac:dyDescent="0.25">
      <c r="B167" s="7">
        <v>40099</v>
      </c>
      <c r="C167" s="8">
        <v>5</v>
      </c>
      <c r="D167" t="str">
        <f t="shared" si="6"/>
        <v>Кепка a ’la Lenin</v>
      </c>
      <c r="E167">
        <v>6</v>
      </c>
      <c r="F167">
        <f t="shared" si="7"/>
        <v>440.00000000000006</v>
      </c>
      <c r="G167">
        <f t="shared" si="8"/>
        <v>2640.0000000000005</v>
      </c>
    </row>
    <row r="168" spans="2:7" ht="15.75" x14ac:dyDescent="0.25">
      <c r="B168" s="7">
        <v>40102</v>
      </c>
      <c r="C168" s="8">
        <v>1</v>
      </c>
      <c r="D168" t="str">
        <f t="shared" si="6"/>
        <v>Лапти липовые</v>
      </c>
      <c r="E168">
        <v>6</v>
      </c>
      <c r="F168">
        <f t="shared" si="7"/>
        <v>110.00000000000001</v>
      </c>
      <c r="G168">
        <f t="shared" si="8"/>
        <v>660.00000000000011</v>
      </c>
    </row>
    <row r="169" spans="2:7" ht="15.75" x14ac:dyDescent="0.25">
      <c r="B169" s="7">
        <v>40102</v>
      </c>
      <c r="C169" s="8">
        <v>4</v>
      </c>
      <c r="D169" t="str">
        <f t="shared" si="6"/>
        <v>Валенки</v>
      </c>
      <c r="E169">
        <v>6</v>
      </c>
      <c r="F169">
        <f t="shared" si="7"/>
        <v>330</v>
      </c>
      <c r="G169">
        <f t="shared" si="8"/>
        <v>1980</v>
      </c>
    </row>
    <row r="170" spans="2:7" ht="15.75" x14ac:dyDescent="0.25">
      <c r="B170" s="7">
        <v>40103</v>
      </c>
      <c r="C170" s="8">
        <v>1</v>
      </c>
      <c r="D170" t="str">
        <f t="shared" si="6"/>
        <v>Лапти липовые</v>
      </c>
      <c r="E170">
        <v>6</v>
      </c>
      <c r="F170">
        <f t="shared" si="7"/>
        <v>110.00000000000001</v>
      </c>
      <c r="G170">
        <f t="shared" si="8"/>
        <v>660.00000000000011</v>
      </c>
    </row>
    <row r="171" spans="2:7" ht="15.75" x14ac:dyDescent="0.25">
      <c r="B171" s="7">
        <v>40103</v>
      </c>
      <c r="C171" s="8">
        <v>2</v>
      </c>
      <c r="D171" t="str">
        <f t="shared" si="6"/>
        <v>Лапти дубовые</v>
      </c>
      <c r="E171">
        <v>6</v>
      </c>
      <c r="F171">
        <f t="shared" si="7"/>
        <v>240</v>
      </c>
      <c r="G171">
        <f t="shared" si="8"/>
        <v>1440</v>
      </c>
    </row>
    <row r="172" spans="2:7" ht="15.75" x14ac:dyDescent="0.25">
      <c r="B172" s="7">
        <v>40103</v>
      </c>
      <c r="C172" s="8">
        <v>6</v>
      </c>
      <c r="D172" t="str">
        <f t="shared" si="6"/>
        <v>Кепка a 'la Luzkov</v>
      </c>
      <c r="E172">
        <v>6</v>
      </c>
      <c r="F172">
        <f t="shared" si="7"/>
        <v>600</v>
      </c>
      <c r="G172">
        <f t="shared" si="8"/>
        <v>3600</v>
      </c>
    </row>
    <row r="173" spans="2:7" ht="15.75" x14ac:dyDescent="0.25">
      <c r="B173" s="7">
        <v>40105</v>
      </c>
      <c r="C173" s="8">
        <v>5</v>
      </c>
      <c r="D173" t="str">
        <f t="shared" si="6"/>
        <v>Кепка a ’la Lenin</v>
      </c>
      <c r="E173">
        <v>6</v>
      </c>
      <c r="F173">
        <f t="shared" si="7"/>
        <v>440.00000000000006</v>
      </c>
      <c r="G173">
        <f t="shared" si="8"/>
        <v>2640.0000000000005</v>
      </c>
    </row>
    <row r="174" spans="2:7" ht="15.75" x14ac:dyDescent="0.25">
      <c r="B174" s="7">
        <v>40106</v>
      </c>
      <c r="C174" s="8">
        <v>4</v>
      </c>
      <c r="D174" t="str">
        <f t="shared" si="6"/>
        <v>Валенки</v>
      </c>
      <c r="E174">
        <v>6</v>
      </c>
      <c r="F174">
        <f t="shared" si="7"/>
        <v>330</v>
      </c>
      <c r="G174">
        <f t="shared" si="8"/>
        <v>1980</v>
      </c>
    </row>
    <row r="175" spans="2:7" ht="15.75" x14ac:dyDescent="0.25">
      <c r="B175" s="7">
        <v>40107</v>
      </c>
      <c r="C175" s="8">
        <v>4</v>
      </c>
      <c r="D175" t="str">
        <f t="shared" si="6"/>
        <v>Валенки</v>
      </c>
      <c r="E175">
        <v>6</v>
      </c>
      <c r="F175">
        <f t="shared" si="7"/>
        <v>330</v>
      </c>
      <c r="G175">
        <f t="shared" si="8"/>
        <v>1980</v>
      </c>
    </row>
    <row r="176" spans="2:7" ht="15.75" x14ac:dyDescent="0.25">
      <c r="B176" s="7">
        <v>40108</v>
      </c>
      <c r="C176" s="8">
        <v>4</v>
      </c>
      <c r="D176" t="str">
        <f t="shared" si="6"/>
        <v>Валенки</v>
      </c>
      <c r="E176">
        <v>6</v>
      </c>
      <c r="F176">
        <f t="shared" si="7"/>
        <v>330</v>
      </c>
      <c r="G176">
        <f t="shared" si="8"/>
        <v>1980</v>
      </c>
    </row>
    <row r="177" spans="2:7" ht="15.75" x14ac:dyDescent="0.25">
      <c r="B177" s="7">
        <v>40108</v>
      </c>
      <c r="C177" s="8">
        <v>6</v>
      </c>
      <c r="D177" t="str">
        <f t="shared" si="6"/>
        <v>Кепка a 'la Luzkov</v>
      </c>
      <c r="E177">
        <v>6</v>
      </c>
      <c r="F177">
        <f t="shared" si="7"/>
        <v>600</v>
      </c>
      <c r="G177">
        <f t="shared" si="8"/>
        <v>3600</v>
      </c>
    </row>
    <row r="178" spans="2:7" ht="15.75" x14ac:dyDescent="0.25">
      <c r="B178" s="7">
        <v>40110</v>
      </c>
      <c r="C178" s="8">
        <v>6</v>
      </c>
      <c r="D178" t="str">
        <f t="shared" si="6"/>
        <v>Кепка a 'la Luzkov</v>
      </c>
      <c r="E178">
        <v>6</v>
      </c>
      <c r="F178">
        <f t="shared" si="7"/>
        <v>600</v>
      </c>
      <c r="G178">
        <f t="shared" si="8"/>
        <v>3600</v>
      </c>
    </row>
    <row r="179" spans="2:7" ht="15.75" x14ac:dyDescent="0.25">
      <c r="B179" s="7">
        <v>40111</v>
      </c>
      <c r="C179" s="8">
        <v>1</v>
      </c>
      <c r="D179" t="str">
        <f t="shared" si="6"/>
        <v>Лапти липовые</v>
      </c>
      <c r="E179">
        <v>6</v>
      </c>
      <c r="F179">
        <f t="shared" si="7"/>
        <v>110.00000000000001</v>
      </c>
      <c r="G179">
        <f t="shared" si="8"/>
        <v>660.00000000000011</v>
      </c>
    </row>
    <row r="180" spans="2:7" ht="15.75" x14ac:dyDescent="0.25">
      <c r="B180" s="7">
        <v>40111</v>
      </c>
      <c r="C180" s="8">
        <v>6</v>
      </c>
      <c r="D180" t="str">
        <f t="shared" si="6"/>
        <v>Кепка a 'la Luzkov</v>
      </c>
      <c r="E180">
        <v>6</v>
      </c>
      <c r="F180">
        <f t="shared" si="7"/>
        <v>600</v>
      </c>
      <c r="G180">
        <f t="shared" si="8"/>
        <v>3600</v>
      </c>
    </row>
    <row r="181" spans="2:7" ht="15.75" x14ac:dyDescent="0.25">
      <c r="B181" s="7">
        <v>40112</v>
      </c>
      <c r="C181" s="8">
        <v>5</v>
      </c>
      <c r="D181" t="str">
        <f t="shared" si="6"/>
        <v>Кепка a ’la Lenin</v>
      </c>
      <c r="E181">
        <v>6</v>
      </c>
      <c r="F181">
        <f t="shared" si="7"/>
        <v>440.00000000000006</v>
      </c>
      <c r="G181">
        <f t="shared" si="8"/>
        <v>2640.0000000000005</v>
      </c>
    </row>
    <row r="182" spans="2:7" ht="15.75" x14ac:dyDescent="0.25">
      <c r="B182" s="7">
        <v>40113</v>
      </c>
      <c r="C182" s="8">
        <v>6</v>
      </c>
      <c r="D182" t="str">
        <f t="shared" si="6"/>
        <v>Кепка a 'la Luzkov</v>
      </c>
      <c r="E182">
        <v>6</v>
      </c>
      <c r="F182">
        <f t="shared" si="7"/>
        <v>600</v>
      </c>
      <c r="G182">
        <f t="shared" si="8"/>
        <v>3600</v>
      </c>
    </row>
    <row r="183" spans="2:7" ht="15.75" x14ac:dyDescent="0.25">
      <c r="B183" s="7">
        <v>40113</v>
      </c>
      <c r="C183" s="8">
        <v>3</v>
      </c>
      <c r="D183" t="str">
        <f t="shared" si="6"/>
        <v>Галоши</v>
      </c>
      <c r="E183">
        <v>6</v>
      </c>
      <c r="F183">
        <f t="shared" si="7"/>
        <v>165</v>
      </c>
      <c r="G183">
        <f t="shared" si="8"/>
        <v>990</v>
      </c>
    </row>
    <row r="184" spans="2:7" ht="15.75" x14ac:dyDescent="0.25">
      <c r="B184" s="7">
        <v>40114</v>
      </c>
      <c r="C184" s="8">
        <v>5</v>
      </c>
      <c r="D184" t="str">
        <f t="shared" si="6"/>
        <v>Кепка a ’la Lenin</v>
      </c>
      <c r="E184">
        <v>6</v>
      </c>
      <c r="F184">
        <f t="shared" si="7"/>
        <v>440.00000000000006</v>
      </c>
      <c r="G184">
        <f t="shared" si="8"/>
        <v>2640.0000000000005</v>
      </c>
    </row>
    <row r="185" spans="2:7" ht="15.75" x14ac:dyDescent="0.25">
      <c r="B185" s="7">
        <v>40087</v>
      </c>
      <c r="C185" s="8">
        <v>6</v>
      </c>
      <c r="D185" t="str">
        <f t="shared" si="6"/>
        <v>Кепка a 'la Luzkov</v>
      </c>
      <c r="E185">
        <v>7</v>
      </c>
      <c r="F185">
        <f t="shared" si="7"/>
        <v>600</v>
      </c>
      <c r="G185">
        <f t="shared" si="8"/>
        <v>4200</v>
      </c>
    </row>
    <row r="186" spans="2:7" ht="15.75" x14ac:dyDescent="0.25">
      <c r="B186" s="7">
        <v>40087</v>
      </c>
      <c r="C186" s="8">
        <v>3</v>
      </c>
      <c r="D186" t="str">
        <f t="shared" si="6"/>
        <v>Галоши</v>
      </c>
      <c r="E186">
        <v>7</v>
      </c>
      <c r="F186">
        <f t="shared" si="7"/>
        <v>165</v>
      </c>
      <c r="G186">
        <f t="shared" si="8"/>
        <v>1155</v>
      </c>
    </row>
    <row r="187" spans="2:7" ht="15.75" x14ac:dyDescent="0.25">
      <c r="B187" s="7">
        <v>40087</v>
      </c>
      <c r="C187" s="8">
        <v>6</v>
      </c>
      <c r="D187" t="str">
        <f t="shared" si="6"/>
        <v>Кепка a 'la Luzkov</v>
      </c>
      <c r="E187">
        <v>7</v>
      </c>
      <c r="F187">
        <f t="shared" si="7"/>
        <v>600</v>
      </c>
      <c r="G187">
        <f t="shared" si="8"/>
        <v>4200</v>
      </c>
    </row>
    <row r="188" spans="2:7" ht="15.75" x14ac:dyDescent="0.25">
      <c r="B188" s="7">
        <v>40088</v>
      </c>
      <c r="C188" s="8">
        <v>3</v>
      </c>
      <c r="D188" t="str">
        <f t="shared" si="6"/>
        <v>Галоши</v>
      </c>
      <c r="E188">
        <v>7</v>
      </c>
      <c r="F188">
        <f t="shared" si="7"/>
        <v>165</v>
      </c>
      <c r="G188">
        <f t="shared" si="8"/>
        <v>1155</v>
      </c>
    </row>
    <row r="189" spans="2:7" ht="15.75" x14ac:dyDescent="0.25">
      <c r="B189" s="7">
        <v>40088</v>
      </c>
      <c r="C189" s="8">
        <v>4</v>
      </c>
      <c r="D189" t="str">
        <f t="shared" si="6"/>
        <v>Валенки</v>
      </c>
      <c r="E189">
        <v>7</v>
      </c>
      <c r="F189">
        <f t="shared" si="7"/>
        <v>330</v>
      </c>
      <c r="G189">
        <f t="shared" si="8"/>
        <v>2310</v>
      </c>
    </row>
    <row r="190" spans="2:7" ht="15.75" x14ac:dyDescent="0.25">
      <c r="B190" s="7">
        <v>40091</v>
      </c>
      <c r="C190" s="8">
        <v>4</v>
      </c>
      <c r="D190" t="str">
        <f t="shared" si="6"/>
        <v>Валенки</v>
      </c>
      <c r="E190">
        <v>7</v>
      </c>
      <c r="F190">
        <f t="shared" si="7"/>
        <v>330</v>
      </c>
      <c r="G190">
        <f t="shared" si="8"/>
        <v>2310</v>
      </c>
    </row>
    <row r="191" spans="2:7" ht="15.75" x14ac:dyDescent="0.25">
      <c r="B191" s="7">
        <v>40092</v>
      </c>
      <c r="C191" s="8">
        <v>4</v>
      </c>
      <c r="D191" t="str">
        <f t="shared" si="6"/>
        <v>Валенки</v>
      </c>
      <c r="E191">
        <v>7</v>
      </c>
      <c r="F191">
        <f t="shared" si="7"/>
        <v>330</v>
      </c>
      <c r="G191">
        <f t="shared" si="8"/>
        <v>2310</v>
      </c>
    </row>
    <row r="192" spans="2:7" ht="15.75" x14ac:dyDescent="0.25">
      <c r="B192" s="7">
        <v>40093</v>
      </c>
      <c r="C192" s="8">
        <v>3</v>
      </c>
      <c r="D192" t="str">
        <f t="shared" si="6"/>
        <v>Галоши</v>
      </c>
      <c r="E192">
        <v>7</v>
      </c>
      <c r="F192">
        <f t="shared" si="7"/>
        <v>165</v>
      </c>
      <c r="G192">
        <f t="shared" si="8"/>
        <v>1155</v>
      </c>
    </row>
    <row r="193" spans="2:7" ht="15.75" x14ac:dyDescent="0.25">
      <c r="B193" s="7">
        <v>40093</v>
      </c>
      <c r="C193" s="8">
        <v>2</v>
      </c>
      <c r="D193" t="str">
        <f t="shared" si="6"/>
        <v>Лапти дубовые</v>
      </c>
      <c r="E193">
        <v>7</v>
      </c>
      <c r="F193">
        <f t="shared" si="7"/>
        <v>240</v>
      </c>
      <c r="G193">
        <f t="shared" si="8"/>
        <v>1680</v>
      </c>
    </row>
    <row r="194" spans="2:7" ht="15.75" x14ac:dyDescent="0.25">
      <c r="B194" s="7">
        <v>40094</v>
      </c>
      <c r="C194" s="8">
        <v>4</v>
      </c>
      <c r="D194" t="str">
        <f t="shared" si="6"/>
        <v>Валенки</v>
      </c>
      <c r="E194">
        <v>7</v>
      </c>
      <c r="F194">
        <f t="shared" si="7"/>
        <v>330</v>
      </c>
      <c r="G194">
        <f t="shared" si="8"/>
        <v>2310</v>
      </c>
    </row>
    <row r="195" spans="2:7" ht="15.75" x14ac:dyDescent="0.25">
      <c r="B195" s="7">
        <v>40094</v>
      </c>
      <c r="C195" s="8">
        <v>2</v>
      </c>
      <c r="D195" t="str">
        <f t="shared" ref="D195:D258" si="9">VLOOKUP(C195,Справочник_товары,2)</f>
        <v>Лапти дубовые</v>
      </c>
      <c r="E195">
        <v>7</v>
      </c>
      <c r="F195">
        <f t="shared" ref="F195:F258" si="10" xml:space="preserve"> VLOOKUP(C195, Справочник_товары,4) * (1 + VLOOKUP(C195, Справочник_товары,5))</f>
        <v>240</v>
      </c>
      <c r="G195">
        <f t="shared" ref="G195:G258" si="11" xml:space="preserve"> E195 * F195</f>
        <v>1680</v>
      </c>
    </row>
    <row r="196" spans="2:7" ht="15.75" x14ac:dyDescent="0.25">
      <c r="B196" s="7">
        <v>40095</v>
      </c>
      <c r="C196" s="8">
        <v>1</v>
      </c>
      <c r="D196" t="str">
        <f t="shared" si="9"/>
        <v>Лапти липовые</v>
      </c>
      <c r="E196">
        <v>7</v>
      </c>
      <c r="F196">
        <f t="shared" si="10"/>
        <v>110.00000000000001</v>
      </c>
      <c r="G196">
        <f t="shared" si="11"/>
        <v>770.00000000000011</v>
      </c>
    </row>
    <row r="197" spans="2:7" ht="15.75" x14ac:dyDescent="0.25">
      <c r="B197" s="7">
        <v>40096</v>
      </c>
      <c r="C197" s="8">
        <v>1</v>
      </c>
      <c r="D197" t="str">
        <f t="shared" si="9"/>
        <v>Лапти липовые</v>
      </c>
      <c r="E197">
        <v>7</v>
      </c>
      <c r="F197">
        <f t="shared" si="10"/>
        <v>110.00000000000001</v>
      </c>
      <c r="G197">
        <f t="shared" si="11"/>
        <v>770.00000000000011</v>
      </c>
    </row>
    <row r="198" spans="2:7" ht="15.75" x14ac:dyDescent="0.25">
      <c r="B198" s="7">
        <v>40100</v>
      </c>
      <c r="C198" s="8">
        <v>4</v>
      </c>
      <c r="D198" t="str">
        <f t="shared" si="9"/>
        <v>Валенки</v>
      </c>
      <c r="E198">
        <v>7</v>
      </c>
      <c r="F198">
        <f t="shared" si="10"/>
        <v>330</v>
      </c>
      <c r="G198">
        <f t="shared" si="11"/>
        <v>2310</v>
      </c>
    </row>
    <row r="199" spans="2:7" ht="15.75" x14ac:dyDescent="0.25">
      <c r="B199" s="7">
        <v>40100</v>
      </c>
      <c r="C199" s="8">
        <v>6</v>
      </c>
      <c r="D199" t="str">
        <f t="shared" si="9"/>
        <v>Кепка a 'la Luzkov</v>
      </c>
      <c r="E199">
        <v>7</v>
      </c>
      <c r="F199">
        <f t="shared" si="10"/>
        <v>600</v>
      </c>
      <c r="G199">
        <f t="shared" si="11"/>
        <v>4200</v>
      </c>
    </row>
    <row r="200" spans="2:7" ht="15.75" x14ac:dyDescent="0.25">
      <c r="B200" s="7">
        <v>40100</v>
      </c>
      <c r="C200" s="8">
        <v>2</v>
      </c>
      <c r="D200" t="str">
        <f t="shared" si="9"/>
        <v>Лапти дубовые</v>
      </c>
      <c r="E200">
        <v>7</v>
      </c>
      <c r="F200">
        <f t="shared" si="10"/>
        <v>240</v>
      </c>
      <c r="G200">
        <f t="shared" si="11"/>
        <v>1680</v>
      </c>
    </row>
    <row r="201" spans="2:7" ht="15.75" x14ac:dyDescent="0.25">
      <c r="B201" s="7">
        <v>40103</v>
      </c>
      <c r="C201" s="8">
        <v>4</v>
      </c>
      <c r="D201" t="str">
        <f t="shared" si="9"/>
        <v>Валенки</v>
      </c>
      <c r="E201">
        <v>7</v>
      </c>
      <c r="F201">
        <f t="shared" si="10"/>
        <v>330</v>
      </c>
      <c r="G201">
        <f t="shared" si="11"/>
        <v>2310</v>
      </c>
    </row>
    <row r="202" spans="2:7" ht="15.75" x14ac:dyDescent="0.25">
      <c r="B202" s="7">
        <v>40105</v>
      </c>
      <c r="C202" s="8">
        <v>3</v>
      </c>
      <c r="D202" t="str">
        <f t="shared" si="9"/>
        <v>Галоши</v>
      </c>
      <c r="E202">
        <v>7</v>
      </c>
      <c r="F202">
        <f t="shared" si="10"/>
        <v>165</v>
      </c>
      <c r="G202">
        <f t="shared" si="11"/>
        <v>1155</v>
      </c>
    </row>
    <row r="203" spans="2:7" ht="15.75" x14ac:dyDescent="0.25">
      <c r="B203" s="7">
        <v>40105</v>
      </c>
      <c r="C203" s="8">
        <v>3</v>
      </c>
      <c r="D203" t="str">
        <f t="shared" si="9"/>
        <v>Галоши</v>
      </c>
      <c r="E203">
        <v>7</v>
      </c>
      <c r="F203">
        <f t="shared" si="10"/>
        <v>165</v>
      </c>
      <c r="G203">
        <f t="shared" si="11"/>
        <v>1155</v>
      </c>
    </row>
    <row r="204" spans="2:7" ht="15.75" x14ac:dyDescent="0.25">
      <c r="B204" s="7">
        <v>40105</v>
      </c>
      <c r="C204" s="8">
        <v>3</v>
      </c>
      <c r="D204" t="str">
        <f t="shared" si="9"/>
        <v>Галоши</v>
      </c>
      <c r="E204">
        <v>7</v>
      </c>
      <c r="F204">
        <f t="shared" si="10"/>
        <v>165</v>
      </c>
      <c r="G204">
        <f t="shared" si="11"/>
        <v>1155</v>
      </c>
    </row>
    <row r="205" spans="2:7" ht="15.75" x14ac:dyDescent="0.25">
      <c r="B205" s="7">
        <v>40106</v>
      </c>
      <c r="C205" s="8">
        <v>3</v>
      </c>
      <c r="D205" t="str">
        <f t="shared" si="9"/>
        <v>Галоши</v>
      </c>
      <c r="E205">
        <v>7</v>
      </c>
      <c r="F205">
        <f t="shared" si="10"/>
        <v>165</v>
      </c>
      <c r="G205">
        <f t="shared" si="11"/>
        <v>1155</v>
      </c>
    </row>
    <row r="206" spans="2:7" ht="15.75" x14ac:dyDescent="0.25">
      <c r="B206" s="7">
        <v>40107</v>
      </c>
      <c r="C206" s="8">
        <v>1</v>
      </c>
      <c r="D206" t="str">
        <f t="shared" si="9"/>
        <v>Лапти липовые</v>
      </c>
      <c r="E206">
        <v>7</v>
      </c>
      <c r="F206">
        <f t="shared" si="10"/>
        <v>110.00000000000001</v>
      </c>
      <c r="G206">
        <f t="shared" si="11"/>
        <v>770.00000000000011</v>
      </c>
    </row>
    <row r="207" spans="2:7" ht="15.75" x14ac:dyDescent="0.25">
      <c r="B207" s="7">
        <v>40110</v>
      </c>
      <c r="C207" s="8">
        <v>2</v>
      </c>
      <c r="D207" t="str">
        <f t="shared" si="9"/>
        <v>Лапти дубовые</v>
      </c>
      <c r="E207">
        <v>7</v>
      </c>
      <c r="F207">
        <f t="shared" si="10"/>
        <v>240</v>
      </c>
      <c r="G207">
        <f t="shared" si="11"/>
        <v>1680</v>
      </c>
    </row>
    <row r="208" spans="2:7" ht="15.75" x14ac:dyDescent="0.25">
      <c r="B208" s="7">
        <v>40113</v>
      </c>
      <c r="C208" s="8">
        <v>6</v>
      </c>
      <c r="D208" t="str">
        <f t="shared" si="9"/>
        <v>Кепка a 'la Luzkov</v>
      </c>
      <c r="E208">
        <v>7</v>
      </c>
      <c r="F208">
        <f t="shared" si="10"/>
        <v>600</v>
      </c>
      <c r="G208">
        <f t="shared" si="11"/>
        <v>4200</v>
      </c>
    </row>
    <row r="209" spans="2:7" ht="15.75" x14ac:dyDescent="0.25">
      <c r="B209" s="7">
        <v>40114</v>
      </c>
      <c r="C209" s="8">
        <v>4</v>
      </c>
      <c r="D209" t="str">
        <f t="shared" si="9"/>
        <v>Валенки</v>
      </c>
      <c r="E209">
        <v>7</v>
      </c>
      <c r="F209">
        <f t="shared" si="10"/>
        <v>330</v>
      </c>
      <c r="G209">
        <f t="shared" si="11"/>
        <v>2310</v>
      </c>
    </row>
    <row r="210" spans="2:7" ht="15.75" x14ac:dyDescent="0.25">
      <c r="B210" s="7">
        <v>40116</v>
      </c>
      <c r="C210" s="8">
        <v>6</v>
      </c>
      <c r="D210" t="str">
        <f t="shared" si="9"/>
        <v>Кепка a 'la Luzkov</v>
      </c>
      <c r="E210">
        <v>7</v>
      </c>
      <c r="F210">
        <f t="shared" si="10"/>
        <v>600</v>
      </c>
      <c r="G210">
        <f t="shared" si="11"/>
        <v>4200</v>
      </c>
    </row>
    <row r="211" spans="2:7" ht="15.75" x14ac:dyDescent="0.25">
      <c r="B211" s="7">
        <v>40116</v>
      </c>
      <c r="C211" s="8">
        <v>2</v>
      </c>
      <c r="D211" t="str">
        <f t="shared" si="9"/>
        <v>Лапти дубовые</v>
      </c>
      <c r="E211">
        <v>7</v>
      </c>
      <c r="F211">
        <f t="shared" si="10"/>
        <v>240</v>
      </c>
      <c r="G211">
        <f t="shared" si="11"/>
        <v>1680</v>
      </c>
    </row>
    <row r="212" spans="2:7" ht="15.75" x14ac:dyDescent="0.25">
      <c r="B212" s="7">
        <v>40088</v>
      </c>
      <c r="C212" s="8">
        <v>4</v>
      </c>
      <c r="D212" t="str">
        <f t="shared" si="9"/>
        <v>Валенки</v>
      </c>
      <c r="E212">
        <v>8</v>
      </c>
      <c r="F212">
        <f t="shared" si="10"/>
        <v>330</v>
      </c>
      <c r="G212">
        <f t="shared" si="11"/>
        <v>2640</v>
      </c>
    </row>
    <row r="213" spans="2:7" ht="15.75" x14ac:dyDescent="0.25">
      <c r="B213" s="7">
        <v>40090</v>
      </c>
      <c r="C213" s="8">
        <v>6</v>
      </c>
      <c r="D213" t="str">
        <f t="shared" si="9"/>
        <v>Кепка a 'la Luzkov</v>
      </c>
      <c r="E213">
        <v>8</v>
      </c>
      <c r="F213">
        <f t="shared" si="10"/>
        <v>600</v>
      </c>
      <c r="G213">
        <f t="shared" si="11"/>
        <v>4800</v>
      </c>
    </row>
    <row r="214" spans="2:7" ht="15.75" x14ac:dyDescent="0.25">
      <c r="B214" s="7">
        <v>40091</v>
      </c>
      <c r="C214" s="8">
        <v>2</v>
      </c>
      <c r="D214" t="str">
        <f t="shared" si="9"/>
        <v>Лапти дубовые</v>
      </c>
      <c r="E214">
        <v>8</v>
      </c>
      <c r="F214">
        <f t="shared" si="10"/>
        <v>240</v>
      </c>
      <c r="G214">
        <f t="shared" si="11"/>
        <v>1920</v>
      </c>
    </row>
    <row r="215" spans="2:7" ht="15.75" x14ac:dyDescent="0.25">
      <c r="B215" s="7">
        <v>40092</v>
      </c>
      <c r="C215" s="8">
        <v>3</v>
      </c>
      <c r="D215" t="str">
        <f t="shared" si="9"/>
        <v>Галоши</v>
      </c>
      <c r="E215">
        <v>8</v>
      </c>
      <c r="F215">
        <f t="shared" si="10"/>
        <v>165</v>
      </c>
      <c r="G215">
        <f t="shared" si="11"/>
        <v>1320</v>
      </c>
    </row>
    <row r="216" spans="2:7" ht="15.75" x14ac:dyDescent="0.25">
      <c r="B216" s="7">
        <v>40095</v>
      </c>
      <c r="C216" s="8">
        <v>3</v>
      </c>
      <c r="D216" t="str">
        <f t="shared" si="9"/>
        <v>Галоши</v>
      </c>
      <c r="E216">
        <v>8</v>
      </c>
      <c r="F216">
        <f t="shared" si="10"/>
        <v>165</v>
      </c>
      <c r="G216">
        <f t="shared" si="11"/>
        <v>1320</v>
      </c>
    </row>
    <row r="217" spans="2:7" ht="15.75" x14ac:dyDescent="0.25">
      <c r="B217" s="7">
        <v>40096</v>
      </c>
      <c r="C217" s="8">
        <v>3</v>
      </c>
      <c r="D217" t="str">
        <f t="shared" si="9"/>
        <v>Галоши</v>
      </c>
      <c r="E217">
        <v>8</v>
      </c>
      <c r="F217">
        <f t="shared" si="10"/>
        <v>165</v>
      </c>
      <c r="G217">
        <f t="shared" si="11"/>
        <v>1320</v>
      </c>
    </row>
    <row r="218" spans="2:7" ht="15.75" x14ac:dyDescent="0.25">
      <c r="B218" s="7">
        <v>40097</v>
      </c>
      <c r="C218" s="8">
        <v>1</v>
      </c>
      <c r="D218" t="str">
        <f t="shared" si="9"/>
        <v>Лапти липовые</v>
      </c>
      <c r="E218">
        <v>8</v>
      </c>
      <c r="F218">
        <f t="shared" si="10"/>
        <v>110.00000000000001</v>
      </c>
      <c r="G218">
        <f t="shared" si="11"/>
        <v>880.00000000000011</v>
      </c>
    </row>
    <row r="219" spans="2:7" ht="15.75" x14ac:dyDescent="0.25">
      <c r="B219" s="7">
        <v>40097</v>
      </c>
      <c r="C219" s="8">
        <v>5</v>
      </c>
      <c r="D219" t="str">
        <f t="shared" si="9"/>
        <v>Кепка a ’la Lenin</v>
      </c>
      <c r="E219">
        <v>8</v>
      </c>
      <c r="F219">
        <f t="shared" si="10"/>
        <v>440.00000000000006</v>
      </c>
      <c r="G219">
        <f t="shared" si="11"/>
        <v>3520.0000000000005</v>
      </c>
    </row>
    <row r="220" spans="2:7" ht="15.75" x14ac:dyDescent="0.25">
      <c r="B220" s="7">
        <v>40097</v>
      </c>
      <c r="C220" s="8">
        <v>3</v>
      </c>
      <c r="D220" t="str">
        <f t="shared" si="9"/>
        <v>Галоши</v>
      </c>
      <c r="E220">
        <v>8</v>
      </c>
      <c r="F220">
        <f t="shared" si="10"/>
        <v>165</v>
      </c>
      <c r="G220">
        <f t="shared" si="11"/>
        <v>1320</v>
      </c>
    </row>
    <row r="221" spans="2:7" ht="15.75" x14ac:dyDescent="0.25">
      <c r="B221" s="7">
        <v>40097</v>
      </c>
      <c r="C221" s="8">
        <v>4</v>
      </c>
      <c r="D221" t="str">
        <f t="shared" si="9"/>
        <v>Валенки</v>
      </c>
      <c r="E221">
        <v>8</v>
      </c>
      <c r="F221">
        <f t="shared" si="10"/>
        <v>330</v>
      </c>
      <c r="G221">
        <f t="shared" si="11"/>
        <v>2640</v>
      </c>
    </row>
    <row r="222" spans="2:7" ht="15.75" x14ac:dyDescent="0.25">
      <c r="B222" s="7">
        <v>40099</v>
      </c>
      <c r="C222" s="8">
        <v>1</v>
      </c>
      <c r="D222" t="str">
        <f t="shared" si="9"/>
        <v>Лапти липовые</v>
      </c>
      <c r="E222">
        <v>8</v>
      </c>
      <c r="F222">
        <f t="shared" si="10"/>
        <v>110.00000000000001</v>
      </c>
      <c r="G222">
        <f t="shared" si="11"/>
        <v>880.00000000000011</v>
      </c>
    </row>
    <row r="223" spans="2:7" ht="15.75" x14ac:dyDescent="0.25">
      <c r="B223" s="7">
        <v>40100</v>
      </c>
      <c r="C223" s="8">
        <v>4</v>
      </c>
      <c r="D223" t="str">
        <f t="shared" si="9"/>
        <v>Валенки</v>
      </c>
      <c r="E223">
        <v>8</v>
      </c>
      <c r="F223">
        <f t="shared" si="10"/>
        <v>330</v>
      </c>
      <c r="G223">
        <f t="shared" si="11"/>
        <v>2640</v>
      </c>
    </row>
    <row r="224" spans="2:7" ht="15.75" x14ac:dyDescent="0.25">
      <c r="B224" s="7">
        <v>40100</v>
      </c>
      <c r="C224" s="8">
        <v>5</v>
      </c>
      <c r="D224" t="str">
        <f t="shared" si="9"/>
        <v>Кепка a ’la Lenin</v>
      </c>
      <c r="E224">
        <v>8</v>
      </c>
      <c r="F224">
        <f t="shared" si="10"/>
        <v>440.00000000000006</v>
      </c>
      <c r="G224">
        <f t="shared" si="11"/>
        <v>3520.0000000000005</v>
      </c>
    </row>
    <row r="225" spans="2:7" ht="15.75" x14ac:dyDescent="0.25">
      <c r="B225" s="7">
        <v>40101</v>
      </c>
      <c r="C225" s="8">
        <v>3</v>
      </c>
      <c r="D225" t="str">
        <f t="shared" si="9"/>
        <v>Галоши</v>
      </c>
      <c r="E225">
        <v>8</v>
      </c>
      <c r="F225">
        <f t="shared" si="10"/>
        <v>165</v>
      </c>
      <c r="G225">
        <f t="shared" si="11"/>
        <v>1320</v>
      </c>
    </row>
    <row r="226" spans="2:7" ht="15.75" x14ac:dyDescent="0.25">
      <c r="B226" s="7">
        <v>40101</v>
      </c>
      <c r="C226" s="8">
        <v>2</v>
      </c>
      <c r="D226" t="str">
        <f t="shared" si="9"/>
        <v>Лапти дубовые</v>
      </c>
      <c r="E226">
        <v>8</v>
      </c>
      <c r="F226">
        <f t="shared" si="10"/>
        <v>240</v>
      </c>
      <c r="G226">
        <f t="shared" si="11"/>
        <v>1920</v>
      </c>
    </row>
    <row r="227" spans="2:7" ht="15.75" x14ac:dyDescent="0.25">
      <c r="B227" s="7">
        <v>40102</v>
      </c>
      <c r="C227" s="8">
        <v>2</v>
      </c>
      <c r="D227" t="str">
        <f t="shared" si="9"/>
        <v>Лапти дубовые</v>
      </c>
      <c r="E227">
        <v>8</v>
      </c>
      <c r="F227">
        <f t="shared" si="10"/>
        <v>240</v>
      </c>
      <c r="G227">
        <f t="shared" si="11"/>
        <v>1920</v>
      </c>
    </row>
    <row r="228" spans="2:7" ht="15.75" x14ac:dyDescent="0.25">
      <c r="B228" s="7">
        <v>40103</v>
      </c>
      <c r="C228" s="8">
        <v>5</v>
      </c>
      <c r="D228" t="str">
        <f t="shared" si="9"/>
        <v>Кепка a ’la Lenin</v>
      </c>
      <c r="E228">
        <v>8</v>
      </c>
      <c r="F228">
        <f t="shared" si="10"/>
        <v>440.00000000000006</v>
      </c>
      <c r="G228">
        <f t="shared" si="11"/>
        <v>3520.0000000000005</v>
      </c>
    </row>
    <row r="229" spans="2:7" ht="15.75" x14ac:dyDescent="0.25">
      <c r="B229" s="7">
        <v>40105</v>
      </c>
      <c r="C229" s="8">
        <v>4</v>
      </c>
      <c r="D229" t="str">
        <f t="shared" si="9"/>
        <v>Валенки</v>
      </c>
      <c r="E229">
        <v>8</v>
      </c>
      <c r="F229">
        <f t="shared" si="10"/>
        <v>330</v>
      </c>
      <c r="G229">
        <f t="shared" si="11"/>
        <v>2640</v>
      </c>
    </row>
    <row r="230" spans="2:7" ht="15.75" x14ac:dyDescent="0.25">
      <c r="B230" s="7">
        <v>40105</v>
      </c>
      <c r="C230" s="8">
        <v>2</v>
      </c>
      <c r="D230" t="str">
        <f t="shared" si="9"/>
        <v>Лапти дубовые</v>
      </c>
      <c r="E230">
        <v>8</v>
      </c>
      <c r="F230">
        <f t="shared" si="10"/>
        <v>240</v>
      </c>
      <c r="G230">
        <f t="shared" si="11"/>
        <v>1920</v>
      </c>
    </row>
    <row r="231" spans="2:7" ht="15.75" x14ac:dyDescent="0.25">
      <c r="B231" s="7">
        <v>40106</v>
      </c>
      <c r="C231" s="8">
        <v>1</v>
      </c>
      <c r="D231" t="str">
        <f t="shared" si="9"/>
        <v>Лапти липовые</v>
      </c>
      <c r="E231">
        <v>8</v>
      </c>
      <c r="F231">
        <f t="shared" si="10"/>
        <v>110.00000000000001</v>
      </c>
      <c r="G231">
        <f t="shared" si="11"/>
        <v>880.00000000000011</v>
      </c>
    </row>
    <row r="232" spans="2:7" ht="15.75" x14ac:dyDescent="0.25">
      <c r="B232" s="7">
        <v>40108</v>
      </c>
      <c r="C232" s="8">
        <v>5</v>
      </c>
      <c r="D232" t="str">
        <f t="shared" si="9"/>
        <v>Кепка a ’la Lenin</v>
      </c>
      <c r="E232">
        <v>8</v>
      </c>
      <c r="F232">
        <f t="shared" si="10"/>
        <v>440.00000000000006</v>
      </c>
      <c r="G232">
        <f t="shared" si="11"/>
        <v>3520.0000000000005</v>
      </c>
    </row>
    <row r="233" spans="2:7" ht="15.75" x14ac:dyDescent="0.25">
      <c r="B233" s="7">
        <v>40108</v>
      </c>
      <c r="C233" s="8">
        <v>5</v>
      </c>
      <c r="D233" t="str">
        <f t="shared" si="9"/>
        <v>Кепка a ’la Lenin</v>
      </c>
      <c r="E233">
        <v>8</v>
      </c>
      <c r="F233">
        <f t="shared" si="10"/>
        <v>440.00000000000006</v>
      </c>
      <c r="G233">
        <f t="shared" si="11"/>
        <v>3520.0000000000005</v>
      </c>
    </row>
    <row r="234" spans="2:7" ht="15.75" x14ac:dyDescent="0.25">
      <c r="B234" s="7">
        <v>40109</v>
      </c>
      <c r="C234" s="8">
        <v>3</v>
      </c>
      <c r="D234" t="str">
        <f t="shared" si="9"/>
        <v>Галоши</v>
      </c>
      <c r="E234">
        <v>8</v>
      </c>
      <c r="F234">
        <f t="shared" si="10"/>
        <v>165</v>
      </c>
      <c r="G234">
        <f t="shared" si="11"/>
        <v>1320</v>
      </c>
    </row>
    <row r="235" spans="2:7" ht="15.75" x14ac:dyDescent="0.25">
      <c r="B235" s="7">
        <v>40109</v>
      </c>
      <c r="C235" s="8">
        <v>3</v>
      </c>
      <c r="D235" t="str">
        <f t="shared" si="9"/>
        <v>Галоши</v>
      </c>
      <c r="E235">
        <v>8</v>
      </c>
      <c r="F235">
        <f t="shared" si="10"/>
        <v>165</v>
      </c>
      <c r="G235">
        <f t="shared" si="11"/>
        <v>1320</v>
      </c>
    </row>
    <row r="236" spans="2:7" ht="15.75" x14ac:dyDescent="0.25">
      <c r="B236" s="7">
        <v>40110</v>
      </c>
      <c r="C236" s="8">
        <v>5</v>
      </c>
      <c r="D236" t="str">
        <f t="shared" si="9"/>
        <v>Кепка a ’la Lenin</v>
      </c>
      <c r="E236">
        <v>8</v>
      </c>
      <c r="F236">
        <f t="shared" si="10"/>
        <v>440.00000000000006</v>
      </c>
      <c r="G236">
        <f t="shared" si="11"/>
        <v>3520.0000000000005</v>
      </c>
    </row>
    <row r="237" spans="2:7" ht="15.75" x14ac:dyDescent="0.25">
      <c r="B237" s="7">
        <v>40111</v>
      </c>
      <c r="C237" s="8">
        <v>5</v>
      </c>
      <c r="D237" t="str">
        <f t="shared" si="9"/>
        <v>Кепка a ’la Lenin</v>
      </c>
      <c r="E237">
        <v>8</v>
      </c>
      <c r="F237">
        <f t="shared" si="10"/>
        <v>440.00000000000006</v>
      </c>
      <c r="G237">
        <f t="shared" si="11"/>
        <v>3520.0000000000005</v>
      </c>
    </row>
    <row r="238" spans="2:7" ht="15.75" x14ac:dyDescent="0.25">
      <c r="B238" s="7">
        <v>40113</v>
      </c>
      <c r="C238" s="8">
        <v>4</v>
      </c>
      <c r="D238" t="str">
        <f t="shared" si="9"/>
        <v>Валенки</v>
      </c>
      <c r="E238">
        <v>8</v>
      </c>
      <c r="F238">
        <f t="shared" si="10"/>
        <v>330</v>
      </c>
      <c r="G238">
        <f t="shared" si="11"/>
        <v>2640</v>
      </c>
    </row>
    <row r="239" spans="2:7" ht="15.75" x14ac:dyDescent="0.25">
      <c r="B239" s="7">
        <v>40113</v>
      </c>
      <c r="C239" s="8">
        <v>2</v>
      </c>
      <c r="D239" t="str">
        <f t="shared" si="9"/>
        <v>Лапти дубовые</v>
      </c>
      <c r="E239">
        <v>8</v>
      </c>
      <c r="F239">
        <f t="shared" si="10"/>
        <v>240</v>
      </c>
      <c r="G239">
        <f t="shared" si="11"/>
        <v>1920</v>
      </c>
    </row>
    <row r="240" spans="2:7" ht="15.75" x14ac:dyDescent="0.25">
      <c r="B240" s="7">
        <v>40114</v>
      </c>
      <c r="C240" s="8">
        <v>3</v>
      </c>
      <c r="D240" t="str">
        <f t="shared" si="9"/>
        <v>Галоши</v>
      </c>
      <c r="E240">
        <v>8</v>
      </c>
      <c r="F240">
        <f t="shared" si="10"/>
        <v>165</v>
      </c>
      <c r="G240">
        <f t="shared" si="11"/>
        <v>1320</v>
      </c>
    </row>
    <row r="241" spans="2:7" ht="15.75" x14ac:dyDescent="0.25">
      <c r="B241" s="7">
        <v>40115</v>
      </c>
      <c r="C241" s="8">
        <v>4</v>
      </c>
      <c r="D241" t="str">
        <f t="shared" si="9"/>
        <v>Валенки</v>
      </c>
      <c r="E241">
        <v>8</v>
      </c>
      <c r="F241">
        <f t="shared" si="10"/>
        <v>330</v>
      </c>
      <c r="G241">
        <f t="shared" si="11"/>
        <v>2640</v>
      </c>
    </row>
    <row r="242" spans="2:7" ht="15.75" x14ac:dyDescent="0.25">
      <c r="B242" s="7">
        <v>40115</v>
      </c>
      <c r="C242" s="8">
        <v>2</v>
      </c>
      <c r="D242" t="str">
        <f t="shared" si="9"/>
        <v>Лапти дубовые</v>
      </c>
      <c r="E242">
        <v>8</v>
      </c>
      <c r="F242">
        <f t="shared" si="10"/>
        <v>240</v>
      </c>
      <c r="G242">
        <f t="shared" si="11"/>
        <v>1920</v>
      </c>
    </row>
    <row r="243" spans="2:7" ht="15.75" x14ac:dyDescent="0.25">
      <c r="B243" s="7">
        <v>40087</v>
      </c>
      <c r="C243" s="8">
        <v>5</v>
      </c>
      <c r="D243" t="str">
        <f t="shared" si="9"/>
        <v>Кепка a ’la Lenin</v>
      </c>
      <c r="E243">
        <v>9</v>
      </c>
      <c r="F243">
        <f t="shared" si="10"/>
        <v>440.00000000000006</v>
      </c>
      <c r="G243">
        <f t="shared" si="11"/>
        <v>3960.0000000000005</v>
      </c>
    </row>
    <row r="244" spans="2:7" ht="15.75" x14ac:dyDescent="0.25">
      <c r="B244" s="7">
        <v>40088</v>
      </c>
      <c r="C244" s="8">
        <v>3</v>
      </c>
      <c r="D244" t="str">
        <f t="shared" si="9"/>
        <v>Галоши</v>
      </c>
      <c r="E244">
        <v>9</v>
      </c>
      <c r="F244">
        <f t="shared" si="10"/>
        <v>165</v>
      </c>
      <c r="G244">
        <f t="shared" si="11"/>
        <v>1485</v>
      </c>
    </row>
    <row r="245" spans="2:7" ht="15.75" x14ac:dyDescent="0.25">
      <c r="B245" s="7">
        <v>40089</v>
      </c>
      <c r="C245" s="8">
        <v>2</v>
      </c>
      <c r="D245" t="str">
        <f t="shared" si="9"/>
        <v>Лапти дубовые</v>
      </c>
      <c r="E245">
        <v>9</v>
      </c>
      <c r="F245">
        <f t="shared" si="10"/>
        <v>240</v>
      </c>
      <c r="G245">
        <f t="shared" si="11"/>
        <v>2160</v>
      </c>
    </row>
    <row r="246" spans="2:7" ht="15.75" x14ac:dyDescent="0.25">
      <c r="B246" s="7">
        <v>40093</v>
      </c>
      <c r="C246" s="8">
        <v>4</v>
      </c>
      <c r="D246" t="str">
        <f t="shared" si="9"/>
        <v>Валенки</v>
      </c>
      <c r="E246">
        <v>9</v>
      </c>
      <c r="F246">
        <f t="shared" si="10"/>
        <v>330</v>
      </c>
      <c r="G246">
        <f t="shared" si="11"/>
        <v>2970</v>
      </c>
    </row>
    <row r="247" spans="2:7" ht="15.75" x14ac:dyDescent="0.25">
      <c r="B247" s="7">
        <v>40094</v>
      </c>
      <c r="C247" s="8">
        <v>2</v>
      </c>
      <c r="D247" t="str">
        <f t="shared" si="9"/>
        <v>Лапти дубовые</v>
      </c>
      <c r="E247">
        <v>9</v>
      </c>
      <c r="F247">
        <f t="shared" si="10"/>
        <v>240</v>
      </c>
      <c r="G247">
        <f t="shared" si="11"/>
        <v>2160</v>
      </c>
    </row>
    <row r="248" spans="2:7" ht="15.75" x14ac:dyDescent="0.25">
      <c r="B248" s="7">
        <v>40096</v>
      </c>
      <c r="C248" s="8">
        <v>5</v>
      </c>
      <c r="D248" t="str">
        <f t="shared" si="9"/>
        <v>Кепка a ’la Lenin</v>
      </c>
      <c r="E248">
        <v>9</v>
      </c>
      <c r="F248">
        <f t="shared" si="10"/>
        <v>440.00000000000006</v>
      </c>
      <c r="G248">
        <f t="shared" si="11"/>
        <v>3960.0000000000005</v>
      </c>
    </row>
    <row r="249" spans="2:7" ht="15.75" x14ac:dyDescent="0.25">
      <c r="B249" s="7">
        <v>40096</v>
      </c>
      <c r="C249" s="8">
        <v>5</v>
      </c>
      <c r="D249" t="str">
        <f t="shared" si="9"/>
        <v>Кепка a ’la Lenin</v>
      </c>
      <c r="E249">
        <v>9</v>
      </c>
      <c r="F249">
        <f t="shared" si="10"/>
        <v>440.00000000000006</v>
      </c>
      <c r="G249">
        <f t="shared" si="11"/>
        <v>3960.0000000000005</v>
      </c>
    </row>
    <row r="250" spans="2:7" ht="15.75" x14ac:dyDescent="0.25">
      <c r="B250" s="7">
        <v>40097</v>
      </c>
      <c r="C250" s="8">
        <v>1</v>
      </c>
      <c r="D250" t="str">
        <f t="shared" si="9"/>
        <v>Лапти липовые</v>
      </c>
      <c r="E250">
        <v>9</v>
      </c>
      <c r="F250">
        <f t="shared" si="10"/>
        <v>110.00000000000001</v>
      </c>
      <c r="G250">
        <f t="shared" si="11"/>
        <v>990.00000000000011</v>
      </c>
    </row>
    <row r="251" spans="2:7" ht="15.75" x14ac:dyDescent="0.25">
      <c r="B251" s="7">
        <v>40098</v>
      </c>
      <c r="C251" s="8">
        <v>2</v>
      </c>
      <c r="D251" t="str">
        <f t="shared" si="9"/>
        <v>Лапти дубовые</v>
      </c>
      <c r="E251">
        <v>9</v>
      </c>
      <c r="F251">
        <f t="shared" si="10"/>
        <v>240</v>
      </c>
      <c r="G251">
        <f t="shared" si="11"/>
        <v>2160</v>
      </c>
    </row>
    <row r="252" spans="2:7" ht="15.75" x14ac:dyDescent="0.25">
      <c r="B252" s="7">
        <v>40100</v>
      </c>
      <c r="C252" s="8">
        <v>2</v>
      </c>
      <c r="D252" t="str">
        <f t="shared" si="9"/>
        <v>Лапти дубовые</v>
      </c>
      <c r="E252">
        <v>9</v>
      </c>
      <c r="F252">
        <f t="shared" si="10"/>
        <v>240</v>
      </c>
      <c r="G252">
        <f t="shared" si="11"/>
        <v>2160</v>
      </c>
    </row>
    <row r="253" spans="2:7" ht="15.75" x14ac:dyDescent="0.25">
      <c r="B253" s="7">
        <v>40100</v>
      </c>
      <c r="C253" s="8">
        <v>3</v>
      </c>
      <c r="D253" t="str">
        <f t="shared" si="9"/>
        <v>Галоши</v>
      </c>
      <c r="E253">
        <v>9</v>
      </c>
      <c r="F253">
        <f t="shared" si="10"/>
        <v>165</v>
      </c>
      <c r="G253">
        <f t="shared" si="11"/>
        <v>1485</v>
      </c>
    </row>
    <row r="254" spans="2:7" ht="15.75" x14ac:dyDescent="0.25">
      <c r="B254" s="7">
        <v>40100</v>
      </c>
      <c r="C254" s="8">
        <v>5</v>
      </c>
      <c r="D254" t="str">
        <f t="shared" si="9"/>
        <v>Кепка a ’la Lenin</v>
      </c>
      <c r="E254">
        <v>9</v>
      </c>
      <c r="F254">
        <f t="shared" si="10"/>
        <v>440.00000000000006</v>
      </c>
      <c r="G254">
        <f t="shared" si="11"/>
        <v>3960.0000000000005</v>
      </c>
    </row>
    <row r="255" spans="2:7" ht="15.75" x14ac:dyDescent="0.25">
      <c r="B255" s="7">
        <v>40104</v>
      </c>
      <c r="C255" s="8">
        <v>5</v>
      </c>
      <c r="D255" t="str">
        <f t="shared" si="9"/>
        <v>Кепка a ’la Lenin</v>
      </c>
      <c r="E255">
        <v>9</v>
      </c>
      <c r="F255">
        <f t="shared" si="10"/>
        <v>440.00000000000006</v>
      </c>
      <c r="G255">
        <f t="shared" si="11"/>
        <v>3960.0000000000005</v>
      </c>
    </row>
    <row r="256" spans="2:7" ht="15.75" x14ac:dyDescent="0.25">
      <c r="B256" s="7">
        <v>40105</v>
      </c>
      <c r="C256" s="8">
        <v>6</v>
      </c>
      <c r="D256" t="str">
        <f t="shared" si="9"/>
        <v>Кепка a 'la Luzkov</v>
      </c>
      <c r="E256">
        <v>9</v>
      </c>
      <c r="F256">
        <f t="shared" si="10"/>
        <v>600</v>
      </c>
      <c r="G256">
        <f t="shared" si="11"/>
        <v>5400</v>
      </c>
    </row>
    <row r="257" spans="2:7" ht="15.75" x14ac:dyDescent="0.25">
      <c r="B257" s="7">
        <v>40106</v>
      </c>
      <c r="C257" s="8">
        <v>6</v>
      </c>
      <c r="D257" t="str">
        <f t="shared" si="9"/>
        <v>Кепка a 'la Luzkov</v>
      </c>
      <c r="E257">
        <v>9</v>
      </c>
      <c r="F257">
        <f t="shared" si="10"/>
        <v>600</v>
      </c>
      <c r="G257">
        <f t="shared" si="11"/>
        <v>5400</v>
      </c>
    </row>
    <row r="258" spans="2:7" ht="15.75" x14ac:dyDescent="0.25">
      <c r="B258" s="7">
        <v>40108</v>
      </c>
      <c r="C258" s="8">
        <v>4</v>
      </c>
      <c r="D258" t="str">
        <f t="shared" si="9"/>
        <v>Валенки</v>
      </c>
      <c r="E258">
        <v>9</v>
      </c>
      <c r="F258">
        <f t="shared" si="10"/>
        <v>330</v>
      </c>
      <c r="G258">
        <f t="shared" si="11"/>
        <v>2970</v>
      </c>
    </row>
    <row r="259" spans="2:7" ht="15.75" x14ac:dyDescent="0.25">
      <c r="B259" s="7">
        <v>40110</v>
      </c>
      <c r="C259" s="8">
        <v>4</v>
      </c>
      <c r="D259" t="str">
        <f t="shared" ref="D259:D300" si="12">VLOOKUP(C259,Справочник_товары,2)</f>
        <v>Валенки</v>
      </c>
      <c r="E259">
        <v>9</v>
      </c>
      <c r="F259">
        <f t="shared" ref="F259:F300" si="13" xml:space="preserve"> VLOOKUP(C259, Справочник_товары,4) * (1 + VLOOKUP(C259, Справочник_товары,5))</f>
        <v>330</v>
      </c>
      <c r="G259">
        <f t="shared" ref="G259:G300" si="14" xml:space="preserve"> E259 * F259</f>
        <v>2970</v>
      </c>
    </row>
    <row r="260" spans="2:7" ht="15.75" x14ac:dyDescent="0.25">
      <c r="B260" s="7">
        <v>40111</v>
      </c>
      <c r="C260" s="8">
        <v>3</v>
      </c>
      <c r="D260" t="str">
        <f t="shared" si="12"/>
        <v>Галоши</v>
      </c>
      <c r="E260">
        <v>9</v>
      </c>
      <c r="F260">
        <f t="shared" si="13"/>
        <v>165</v>
      </c>
      <c r="G260">
        <f t="shared" si="14"/>
        <v>1485</v>
      </c>
    </row>
    <row r="261" spans="2:7" ht="15.75" x14ac:dyDescent="0.25">
      <c r="B261" s="7">
        <v>40111</v>
      </c>
      <c r="C261" s="8">
        <v>2</v>
      </c>
      <c r="D261" t="str">
        <f t="shared" si="12"/>
        <v>Лапти дубовые</v>
      </c>
      <c r="E261">
        <v>9</v>
      </c>
      <c r="F261">
        <f t="shared" si="13"/>
        <v>240</v>
      </c>
      <c r="G261">
        <f t="shared" si="14"/>
        <v>2160</v>
      </c>
    </row>
    <row r="262" spans="2:7" ht="15.75" x14ac:dyDescent="0.25">
      <c r="B262" s="7">
        <v>40111</v>
      </c>
      <c r="C262" s="8">
        <v>3</v>
      </c>
      <c r="D262" t="str">
        <f t="shared" si="12"/>
        <v>Галоши</v>
      </c>
      <c r="E262">
        <v>9</v>
      </c>
      <c r="F262">
        <f t="shared" si="13"/>
        <v>165</v>
      </c>
      <c r="G262">
        <f t="shared" si="14"/>
        <v>1485</v>
      </c>
    </row>
    <row r="263" spans="2:7" ht="15.75" x14ac:dyDescent="0.25">
      <c r="B263" s="7">
        <v>40112</v>
      </c>
      <c r="C263" s="8">
        <v>6</v>
      </c>
      <c r="D263" t="str">
        <f t="shared" si="12"/>
        <v>Кепка a 'la Luzkov</v>
      </c>
      <c r="E263">
        <v>9</v>
      </c>
      <c r="F263">
        <f t="shared" si="13"/>
        <v>600</v>
      </c>
      <c r="G263">
        <f t="shared" si="14"/>
        <v>5400</v>
      </c>
    </row>
    <row r="264" spans="2:7" ht="15.75" x14ac:dyDescent="0.25">
      <c r="B264" s="7">
        <v>40113</v>
      </c>
      <c r="C264" s="8">
        <v>3</v>
      </c>
      <c r="D264" t="str">
        <f t="shared" si="12"/>
        <v>Галоши</v>
      </c>
      <c r="E264">
        <v>9</v>
      </c>
      <c r="F264">
        <f t="shared" si="13"/>
        <v>165</v>
      </c>
      <c r="G264">
        <f t="shared" si="14"/>
        <v>1485</v>
      </c>
    </row>
    <row r="265" spans="2:7" ht="15.75" x14ac:dyDescent="0.25">
      <c r="B265" s="7">
        <v>40113</v>
      </c>
      <c r="C265" s="8">
        <v>1</v>
      </c>
      <c r="D265" t="str">
        <f t="shared" si="12"/>
        <v>Лапти липовые</v>
      </c>
      <c r="E265">
        <v>9</v>
      </c>
      <c r="F265">
        <f t="shared" si="13"/>
        <v>110.00000000000001</v>
      </c>
      <c r="G265">
        <f t="shared" si="14"/>
        <v>990.00000000000011</v>
      </c>
    </row>
    <row r="266" spans="2:7" ht="15.75" x14ac:dyDescent="0.25">
      <c r="B266" s="7">
        <v>40114</v>
      </c>
      <c r="C266" s="8">
        <v>5</v>
      </c>
      <c r="D266" t="str">
        <f t="shared" si="12"/>
        <v>Кепка a ’la Lenin</v>
      </c>
      <c r="E266">
        <v>9</v>
      </c>
      <c r="F266">
        <f t="shared" si="13"/>
        <v>440.00000000000006</v>
      </c>
      <c r="G266">
        <f t="shared" si="14"/>
        <v>3960.0000000000005</v>
      </c>
    </row>
    <row r="267" spans="2:7" ht="15.75" x14ac:dyDescent="0.25">
      <c r="B267" s="7">
        <v>40114</v>
      </c>
      <c r="C267" s="8">
        <v>5</v>
      </c>
      <c r="D267" t="str">
        <f t="shared" si="12"/>
        <v>Кепка a ’la Lenin</v>
      </c>
      <c r="E267">
        <v>9</v>
      </c>
      <c r="F267">
        <f t="shared" si="13"/>
        <v>440.00000000000006</v>
      </c>
      <c r="G267">
        <f t="shared" si="14"/>
        <v>3960.0000000000005</v>
      </c>
    </row>
    <row r="268" spans="2:7" ht="15.75" x14ac:dyDescent="0.25">
      <c r="B268" s="7">
        <v>40115</v>
      </c>
      <c r="C268" s="8">
        <v>5</v>
      </c>
      <c r="D268" t="str">
        <f t="shared" si="12"/>
        <v>Кепка a ’la Lenin</v>
      </c>
      <c r="E268">
        <v>9</v>
      </c>
      <c r="F268">
        <f t="shared" si="13"/>
        <v>440.00000000000006</v>
      </c>
      <c r="G268">
        <f t="shared" si="14"/>
        <v>3960.0000000000005</v>
      </c>
    </row>
    <row r="269" spans="2:7" ht="15.75" x14ac:dyDescent="0.25">
      <c r="B269" s="7">
        <v>40116</v>
      </c>
      <c r="C269" s="8">
        <v>5</v>
      </c>
      <c r="D269" t="str">
        <f t="shared" si="12"/>
        <v>Кепка a ’la Lenin</v>
      </c>
      <c r="E269">
        <v>9</v>
      </c>
      <c r="F269">
        <f t="shared" si="13"/>
        <v>440.00000000000006</v>
      </c>
      <c r="G269">
        <f t="shared" si="14"/>
        <v>3960.0000000000005</v>
      </c>
    </row>
    <row r="270" spans="2:7" ht="15.75" x14ac:dyDescent="0.25">
      <c r="B270" s="7">
        <v>40088</v>
      </c>
      <c r="C270" s="8">
        <v>3</v>
      </c>
      <c r="D270" t="str">
        <f t="shared" si="12"/>
        <v>Галоши</v>
      </c>
      <c r="E270">
        <v>10</v>
      </c>
      <c r="F270">
        <f t="shared" si="13"/>
        <v>165</v>
      </c>
      <c r="G270">
        <f t="shared" si="14"/>
        <v>1650</v>
      </c>
    </row>
    <row r="271" spans="2:7" ht="15.75" x14ac:dyDescent="0.25">
      <c r="B271" s="7">
        <v>40090</v>
      </c>
      <c r="C271" s="8">
        <v>5</v>
      </c>
      <c r="D271" t="str">
        <f t="shared" si="12"/>
        <v>Кепка a ’la Lenin</v>
      </c>
      <c r="E271">
        <v>10</v>
      </c>
      <c r="F271">
        <f t="shared" si="13"/>
        <v>440.00000000000006</v>
      </c>
      <c r="G271">
        <f t="shared" si="14"/>
        <v>4400.0000000000009</v>
      </c>
    </row>
    <row r="272" spans="2:7" ht="15.75" x14ac:dyDescent="0.25">
      <c r="B272" s="7">
        <v>40091</v>
      </c>
      <c r="C272" s="8">
        <v>4</v>
      </c>
      <c r="D272" t="str">
        <f t="shared" si="12"/>
        <v>Валенки</v>
      </c>
      <c r="E272">
        <v>10</v>
      </c>
      <c r="F272">
        <f t="shared" si="13"/>
        <v>330</v>
      </c>
      <c r="G272">
        <f t="shared" si="14"/>
        <v>3300</v>
      </c>
    </row>
    <row r="273" spans="2:7" ht="15.75" x14ac:dyDescent="0.25">
      <c r="B273" s="7">
        <v>40091</v>
      </c>
      <c r="C273" s="8">
        <v>2</v>
      </c>
      <c r="D273" t="str">
        <f t="shared" si="12"/>
        <v>Лапти дубовые</v>
      </c>
      <c r="E273">
        <v>10</v>
      </c>
      <c r="F273">
        <f t="shared" si="13"/>
        <v>240</v>
      </c>
      <c r="G273">
        <f t="shared" si="14"/>
        <v>2400</v>
      </c>
    </row>
    <row r="274" spans="2:7" ht="15.75" x14ac:dyDescent="0.25">
      <c r="B274" s="7">
        <v>40093</v>
      </c>
      <c r="C274" s="8">
        <v>4</v>
      </c>
      <c r="D274" t="str">
        <f t="shared" si="12"/>
        <v>Валенки</v>
      </c>
      <c r="E274">
        <v>10</v>
      </c>
      <c r="F274">
        <f t="shared" si="13"/>
        <v>330</v>
      </c>
      <c r="G274">
        <f t="shared" si="14"/>
        <v>3300</v>
      </c>
    </row>
    <row r="275" spans="2:7" ht="15.75" x14ac:dyDescent="0.25">
      <c r="B275" s="7">
        <v>40094</v>
      </c>
      <c r="C275" s="8">
        <v>6</v>
      </c>
      <c r="D275" t="str">
        <f t="shared" si="12"/>
        <v>Кепка a 'la Luzkov</v>
      </c>
      <c r="E275">
        <v>10</v>
      </c>
      <c r="F275">
        <f t="shared" si="13"/>
        <v>600</v>
      </c>
      <c r="G275">
        <f t="shared" si="14"/>
        <v>6000</v>
      </c>
    </row>
    <row r="276" spans="2:7" ht="15.75" x14ac:dyDescent="0.25">
      <c r="B276" s="7">
        <v>40095</v>
      </c>
      <c r="C276" s="8">
        <v>2</v>
      </c>
      <c r="D276" t="str">
        <f t="shared" si="12"/>
        <v>Лапти дубовые</v>
      </c>
      <c r="E276">
        <v>10</v>
      </c>
      <c r="F276">
        <f t="shared" si="13"/>
        <v>240</v>
      </c>
      <c r="G276">
        <f t="shared" si="14"/>
        <v>2400</v>
      </c>
    </row>
    <row r="277" spans="2:7" ht="15.75" x14ac:dyDescent="0.25">
      <c r="B277" s="7">
        <v>40097</v>
      </c>
      <c r="C277" s="8">
        <v>3</v>
      </c>
      <c r="D277" t="str">
        <f t="shared" si="12"/>
        <v>Галоши</v>
      </c>
      <c r="E277">
        <v>10</v>
      </c>
      <c r="F277">
        <f t="shared" si="13"/>
        <v>165</v>
      </c>
      <c r="G277">
        <f t="shared" si="14"/>
        <v>1650</v>
      </c>
    </row>
    <row r="278" spans="2:7" ht="15.75" x14ac:dyDescent="0.25">
      <c r="B278" s="7">
        <v>40097</v>
      </c>
      <c r="C278" s="8">
        <v>5</v>
      </c>
      <c r="D278" t="str">
        <f t="shared" si="12"/>
        <v>Кепка a ’la Lenin</v>
      </c>
      <c r="E278">
        <v>10</v>
      </c>
      <c r="F278">
        <f t="shared" si="13"/>
        <v>440.00000000000006</v>
      </c>
      <c r="G278">
        <f t="shared" si="14"/>
        <v>4400.0000000000009</v>
      </c>
    </row>
    <row r="279" spans="2:7" ht="15.75" x14ac:dyDescent="0.25">
      <c r="B279" s="7">
        <v>40099</v>
      </c>
      <c r="C279" s="8">
        <v>4</v>
      </c>
      <c r="D279" t="str">
        <f t="shared" si="12"/>
        <v>Валенки</v>
      </c>
      <c r="E279">
        <v>10</v>
      </c>
      <c r="F279">
        <f t="shared" si="13"/>
        <v>330</v>
      </c>
      <c r="G279">
        <f t="shared" si="14"/>
        <v>3300</v>
      </c>
    </row>
    <row r="280" spans="2:7" ht="15.75" x14ac:dyDescent="0.25">
      <c r="B280" s="7">
        <v>40100</v>
      </c>
      <c r="C280" s="8">
        <v>4</v>
      </c>
      <c r="D280" t="str">
        <f t="shared" si="12"/>
        <v>Валенки</v>
      </c>
      <c r="E280">
        <v>10</v>
      </c>
      <c r="F280">
        <f t="shared" si="13"/>
        <v>330</v>
      </c>
      <c r="G280">
        <f t="shared" si="14"/>
        <v>3300</v>
      </c>
    </row>
    <row r="281" spans="2:7" ht="15.75" x14ac:dyDescent="0.25">
      <c r="B281" s="7">
        <v>40100</v>
      </c>
      <c r="C281" s="8">
        <v>2</v>
      </c>
      <c r="D281" t="str">
        <f t="shared" si="12"/>
        <v>Лапти дубовые</v>
      </c>
      <c r="E281">
        <v>10</v>
      </c>
      <c r="F281">
        <f t="shared" si="13"/>
        <v>240</v>
      </c>
      <c r="G281">
        <f t="shared" si="14"/>
        <v>2400</v>
      </c>
    </row>
    <row r="282" spans="2:7" ht="15.75" x14ac:dyDescent="0.25">
      <c r="B282" s="7">
        <v>40101</v>
      </c>
      <c r="C282" s="8">
        <v>1</v>
      </c>
      <c r="D282" t="str">
        <f t="shared" si="12"/>
        <v>Лапти липовые</v>
      </c>
      <c r="E282">
        <v>10</v>
      </c>
      <c r="F282">
        <f t="shared" si="13"/>
        <v>110.00000000000001</v>
      </c>
      <c r="G282">
        <f t="shared" si="14"/>
        <v>1100.0000000000002</v>
      </c>
    </row>
    <row r="283" spans="2:7" ht="15.75" x14ac:dyDescent="0.25">
      <c r="B283" s="7">
        <v>40101</v>
      </c>
      <c r="C283" s="8">
        <v>6</v>
      </c>
      <c r="D283" t="str">
        <f t="shared" si="12"/>
        <v>Кепка a 'la Luzkov</v>
      </c>
      <c r="E283">
        <v>10</v>
      </c>
      <c r="F283">
        <f t="shared" si="13"/>
        <v>600</v>
      </c>
      <c r="G283">
        <f t="shared" si="14"/>
        <v>6000</v>
      </c>
    </row>
    <row r="284" spans="2:7" ht="15.75" x14ac:dyDescent="0.25">
      <c r="B284" s="7">
        <v>40105</v>
      </c>
      <c r="C284" s="8">
        <v>1</v>
      </c>
      <c r="D284" t="str">
        <f t="shared" si="12"/>
        <v>Лапти липовые</v>
      </c>
      <c r="E284">
        <v>10</v>
      </c>
      <c r="F284">
        <f t="shared" si="13"/>
        <v>110.00000000000001</v>
      </c>
      <c r="G284">
        <f t="shared" si="14"/>
        <v>1100.0000000000002</v>
      </c>
    </row>
    <row r="285" spans="2:7" ht="15.75" x14ac:dyDescent="0.25">
      <c r="B285" s="7">
        <v>40105</v>
      </c>
      <c r="C285" s="8">
        <v>3</v>
      </c>
      <c r="D285" t="str">
        <f t="shared" si="12"/>
        <v>Галоши</v>
      </c>
      <c r="E285">
        <v>10</v>
      </c>
      <c r="F285">
        <f t="shared" si="13"/>
        <v>165</v>
      </c>
      <c r="G285">
        <f t="shared" si="14"/>
        <v>1650</v>
      </c>
    </row>
    <row r="286" spans="2:7" ht="15.75" x14ac:dyDescent="0.25">
      <c r="B286" s="7">
        <v>40106</v>
      </c>
      <c r="C286" s="8">
        <v>5</v>
      </c>
      <c r="D286" t="str">
        <f t="shared" si="12"/>
        <v>Кепка a ’la Lenin</v>
      </c>
      <c r="E286">
        <v>10</v>
      </c>
      <c r="F286">
        <f t="shared" si="13"/>
        <v>440.00000000000006</v>
      </c>
      <c r="G286">
        <f t="shared" si="14"/>
        <v>4400.0000000000009</v>
      </c>
    </row>
    <row r="287" spans="2:7" ht="15.75" x14ac:dyDescent="0.25">
      <c r="B287" s="7">
        <v>40106</v>
      </c>
      <c r="C287" s="8">
        <v>6</v>
      </c>
      <c r="D287" t="str">
        <f t="shared" si="12"/>
        <v>Кепка a 'la Luzkov</v>
      </c>
      <c r="E287">
        <v>10</v>
      </c>
      <c r="F287">
        <f t="shared" si="13"/>
        <v>600</v>
      </c>
      <c r="G287">
        <f t="shared" si="14"/>
        <v>6000</v>
      </c>
    </row>
    <row r="288" spans="2:7" ht="15.75" x14ac:dyDescent="0.25">
      <c r="B288" s="7">
        <v>40107</v>
      </c>
      <c r="C288" s="8">
        <v>1</v>
      </c>
      <c r="D288" t="str">
        <f t="shared" si="12"/>
        <v>Лапти липовые</v>
      </c>
      <c r="E288">
        <v>10</v>
      </c>
      <c r="F288">
        <f t="shared" si="13"/>
        <v>110.00000000000001</v>
      </c>
      <c r="G288">
        <f t="shared" si="14"/>
        <v>1100.0000000000002</v>
      </c>
    </row>
    <row r="289" spans="2:7" ht="15.75" x14ac:dyDescent="0.25">
      <c r="B289" s="7">
        <v>40109</v>
      </c>
      <c r="C289" s="8">
        <v>3</v>
      </c>
      <c r="D289" t="str">
        <f t="shared" si="12"/>
        <v>Галоши</v>
      </c>
      <c r="E289">
        <v>10</v>
      </c>
      <c r="F289">
        <f t="shared" si="13"/>
        <v>165</v>
      </c>
      <c r="G289">
        <f t="shared" si="14"/>
        <v>1650</v>
      </c>
    </row>
    <row r="290" spans="2:7" ht="15.75" x14ac:dyDescent="0.25">
      <c r="B290" s="7">
        <v>40110</v>
      </c>
      <c r="C290" s="8">
        <v>5</v>
      </c>
      <c r="D290" t="str">
        <f t="shared" si="12"/>
        <v>Кепка a ’la Lenin</v>
      </c>
      <c r="E290">
        <v>10</v>
      </c>
      <c r="F290">
        <f t="shared" si="13"/>
        <v>440.00000000000006</v>
      </c>
      <c r="G290">
        <f t="shared" si="14"/>
        <v>4400.0000000000009</v>
      </c>
    </row>
    <row r="291" spans="2:7" ht="15.75" x14ac:dyDescent="0.25">
      <c r="B291" s="7">
        <v>40110</v>
      </c>
      <c r="C291" s="8">
        <v>6</v>
      </c>
      <c r="D291" t="str">
        <f t="shared" si="12"/>
        <v>Кепка a 'la Luzkov</v>
      </c>
      <c r="E291">
        <v>10</v>
      </c>
      <c r="F291">
        <f t="shared" si="13"/>
        <v>600</v>
      </c>
      <c r="G291">
        <f t="shared" si="14"/>
        <v>6000</v>
      </c>
    </row>
    <row r="292" spans="2:7" ht="15.75" x14ac:dyDescent="0.25">
      <c r="B292" s="7">
        <v>40111</v>
      </c>
      <c r="C292" s="8">
        <v>4</v>
      </c>
      <c r="D292" t="str">
        <f t="shared" si="12"/>
        <v>Валенки</v>
      </c>
      <c r="E292">
        <v>10</v>
      </c>
      <c r="F292">
        <f t="shared" si="13"/>
        <v>330</v>
      </c>
      <c r="G292">
        <f t="shared" si="14"/>
        <v>3300</v>
      </c>
    </row>
    <row r="293" spans="2:7" ht="15.75" x14ac:dyDescent="0.25">
      <c r="B293" s="7">
        <v>40111</v>
      </c>
      <c r="C293" s="8">
        <v>1</v>
      </c>
      <c r="D293" t="str">
        <f t="shared" si="12"/>
        <v>Лапти липовые</v>
      </c>
      <c r="E293">
        <v>10</v>
      </c>
      <c r="F293">
        <f t="shared" si="13"/>
        <v>110.00000000000001</v>
      </c>
      <c r="G293">
        <f t="shared" si="14"/>
        <v>1100.0000000000002</v>
      </c>
    </row>
    <row r="294" spans="2:7" ht="15.75" x14ac:dyDescent="0.25">
      <c r="B294" s="7">
        <v>40111</v>
      </c>
      <c r="C294" s="8">
        <v>6</v>
      </c>
      <c r="D294" t="str">
        <f t="shared" si="12"/>
        <v>Кепка a 'la Luzkov</v>
      </c>
      <c r="E294">
        <v>10</v>
      </c>
      <c r="F294">
        <f t="shared" si="13"/>
        <v>600</v>
      </c>
      <c r="G294">
        <f t="shared" si="14"/>
        <v>6000</v>
      </c>
    </row>
    <row r="295" spans="2:7" ht="15.75" x14ac:dyDescent="0.25">
      <c r="B295" s="7">
        <v>40112</v>
      </c>
      <c r="C295" s="8">
        <v>6</v>
      </c>
      <c r="D295" t="str">
        <f t="shared" si="12"/>
        <v>Кепка a 'la Luzkov</v>
      </c>
      <c r="E295">
        <v>10</v>
      </c>
      <c r="F295">
        <f t="shared" si="13"/>
        <v>600</v>
      </c>
      <c r="G295">
        <f t="shared" si="14"/>
        <v>6000</v>
      </c>
    </row>
    <row r="296" spans="2:7" ht="15.75" x14ac:dyDescent="0.25">
      <c r="B296" s="7">
        <v>40113</v>
      </c>
      <c r="C296" s="8">
        <v>6</v>
      </c>
      <c r="D296" t="str">
        <f t="shared" si="12"/>
        <v>Кепка a 'la Luzkov</v>
      </c>
      <c r="E296">
        <v>10</v>
      </c>
      <c r="F296">
        <f t="shared" si="13"/>
        <v>600</v>
      </c>
      <c r="G296">
        <f t="shared" si="14"/>
        <v>6000</v>
      </c>
    </row>
    <row r="297" spans="2:7" ht="15.75" x14ac:dyDescent="0.25">
      <c r="B297" s="7">
        <v>40113</v>
      </c>
      <c r="C297" s="8">
        <v>1</v>
      </c>
      <c r="D297" t="str">
        <f t="shared" si="12"/>
        <v>Лапти липовые</v>
      </c>
      <c r="E297">
        <v>10</v>
      </c>
      <c r="F297">
        <f t="shared" si="13"/>
        <v>110.00000000000001</v>
      </c>
      <c r="G297">
        <f t="shared" si="14"/>
        <v>1100.0000000000002</v>
      </c>
    </row>
    <row r="298" spans="2:7" ht="15.75" x14ac:dyDescent="0.25">
      <c r="B298" s="7">
        <v>40114</v>
      </c>
      <c r="C298" s="8">
        <v>6</v>
      </c>
      <c r="D298" t="str">
        <f t="shared" si="12"/>
        <v>Кепка a 'la Luzkov</v>
      </c>
      <c r="E298">
        <v>10</v>
      </c>
      <c r="F298">
        <f t="shared" si="13"/>
        <v>600</v>
      </c>
      <c r="G298">
        <f t="shared" si="14"/>
        <v>6000</v>
      </c>
    </row>
    <row r="299" spans="2:7" ht="15.75" x14ac:dyDescent="0.25">
      <c r="B299" s="7">
        <v>40115</v>
      </c>
      <c r="C299" s="8">
        <v>4</v>
      </c>
      <c r="D299" t="str">
        <f t="shared" si="12"/>
        <v>Валенки</v>
      </c>
      <c r="E299">
        <v>10</v>
      </c>
      <c r="F299">
        <f t="shared" si="13"/>
        <v>330</v>
      </c>
      <c r="G299">
        <f t="shared" si="14"/>
        <v>3300</v>
      </c>
    </row>
    <row r="300" spans="2:7" ht="15.75" x14ac:dyDescent="0.25">
      <c r="B300" s="7">
        <v>40115</v>
      </c>
      <c r="C300" s="8">
        <v>3</v>
      </c>
      <c r="D300" t="str">
        <f t="shared" si="12"/>
        <v>Галоши</v>
      </c>
      <c r="E300">
        <v>10</v>
      </c>
      <c r="F300">
        <f t="shared" si="13"/>
        <v>165</v>
      </c>
      <c r="G300">
        <f t="shared" si="14"/>
        <v>1650</v>
      </c>
    </row>
  </sheetData>
  <sortState ref="B3:G300">
    <sortCondition ref="E12"/>
  </sortState>
  <mergeCells count="1">
    <mergeCell ref="L6:M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8</xdr:col>
                <xdr:colOff>9525</xdr:colOff>
                <xdr:row>4</xdr:row>
                <xdr:rowOff>0</xdr:rowOff>
              </from>
              <to>
                <xdr:col>10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7</xdr:col>
                <xdr:colOff>600075</xdr:colOff>
                <xdr:row>1</xdr:row>
                <xdr:rowOff>9525</xdr:rowOff>
              </from>
              <to>
                <xdr:col>9</xdr:col>
                <xdr:colOff>600075</xdr:colOff>
                <xdr:row>2</xdr:row>
                <xdr:rowOff>161925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9" r:id="rId8" name="Drop Down 3">
          <controlPr defaultSize="0" autoLine="0" autoPict="0">
            <anchor moveWithCells="1">
              <from>
                <xdr:col>13</xdr:col>
                <xdr:colOff>0</xdr:colOff>
                <xdr:row>2</xdr:row>
                <xdr:rowOff>19050</xdr:rowOff>
              </from>
              <to>
                <xdr:col>14</xdr:col>
                <xdr:colOff>552450</xdr:colOff>
                <xdr:row>3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Товары!$C$3:$C$8</xm:f>
          </x14:formula1>
          <xm:sqref>O7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O300"/>
  <sheetViews>
    <sheetView workbookViewId="0">
      <selection activeCell="K10" sqref="K10:O10"/>
    </sheetView>
  </sheetViews>
  <sheetFormatPr defaultRowHeight="15" x14ac:dyDescent="0.25"/>
  <cols>
    <col min="2" max="2" width="14" customWidth="1"/>
    <col min="3" max="3" width="10.7109375" customWidth="1"/>
    <col min="4" max="4" width="17.7109375" customWidth="1"/>
    <col min="5" max="5" width="12.42578125" customWidth="1"/>
    <col min="8" max="8" width="12.140625" customWidth="1"/>
  </cols>
  <sheetData>
    <row r="1" spans="2:15" ht="15.75" thickBot="1" x14ac:dyDescent="0.3"/>
    <row r="2" spans="2:15" ht="15.75" thickBot="1" x14ac:dyDescent="0.3">
      <c r="B2" s="9" t="s">
        <v>13</v>
      </c>
      <c r="C2" s="10" t="s">
        <v>1</v>
      </c>
      <c r="D2" s="10" t="s">
        <v>2</v>
      </c>
      <c r="E2" s="10" t="s">
        <v>14</v>
      </c>
      <c r="F2" s="10" t="s">
        <v>15</v>
      </c>
      <c r="G2" s="14" t="s">
        <v>16</v>
      </c>
      <c r="H2" s="11" t="s">
        <v>17</v>
      </c>
    </row>
    <row r="3" spans="2:15" x14ac:dyDescent="0.25">
      <c r="B3" s="13">
        <v>40087</v>
      </c>
      <c r="C3" s="12">
        <v>6</v>
      </c>
      <c r="D3" s="12" t="s">
        <v>12</v>
      </c>
      <c r="E3" s="12">
        <v>4</v>
      </c>
      <c r="F3" s="12">
        <f t="shared" ref="F3:F66" si="0" xml:space="preserve"> VLOOKUP(C3, Справочник_товары,4)</f>
        <v>500</v>
      </c>
      <c r="G3" s="12">
        <v>2400</v>
      </c>
      <c r="H3">
        <f t="shared" ref="H3:H66" si="1" xml:space="preserve"> VLOOKUP(C3, Справочник_товары,6)</f>
        <v>4</v>
      </c>
    </row>
    <row r="4" spans="2:15" x14ac:dyDescent="0.25">
      <c r="B4" s="13">
        <v>40087</v>
      </c>
      <c r="C4" s="12">
        <v>2</v>
      </c>
      <c r="D4" s="12" t="s">
        <v>8</v>
      </c>
      <c r="E4" s="12">
        <v>5</v>
      </c>
      <c r="F4" s="12">
        <f t="shared" si="0"/>
        <v>200</v>
      </c>
      <c r="G4" s="12">
        <v>1200</v>
      </c>
      <c r="H4">
        <f t="shared" si="1"/>
        <v>1</v>
      </c>
    </row>
    <row r="5" spans="2:15" x14ac:dyDescent="0.25">
      <c r="B5" s="13">
        <v>40087</v>
      </c>
      <c r="C5" s="12">
        <v>6</v>
      </c>
      <c r="D5" s="12" t="s">
        <v>12</v>
      </c>
      <c r="E5" s="12">
        <v>7</v>
      </c>
      <c r="F5" s="12">
        <f t="shared" si="0"/>
        <v>500</v>
      </c>
      <c r="G5" s="12">
        <v>4200</v>
      </c>
      <c r="H5">
        <f t="shared" si="1"/>
        <v>4</v>
      </c>
    </row>
    <row r="6" spans="2:15" x14ac:dyDescent="0.25">
      <c r="B6" s="13">
        <v>40087</v>
      </c>
      <c r="C6" s="12">
        <v>5</v>
      </c>
      <c r="D6" s="12" t="s">
        <v>11</v>
      </c>
      <c r="E6" s="12">
        <v>6</v>
      </c>
      <c r="F6" s="12">
        <f t="shared" si="0"/>
        <v>400</v>
      </c>
      <c r="G6" s="12">
        <v>2640.0000000000005</v>
      </c>
      <c r="H6">
        <f t="shared" si="1"/>
        <v>4</v>
      </c>
    </row>
    <row r="7" spans="2:15" x14ac:dyDescent="0.25">
      <c r="B7" s="13">
        <v>40087</v>
      </c>
      <c r="C7" s="12">
        <v>6</v>
      </c>
      <c r="D7" s="12" t="s">
        <v>12</v>
      </c>
      <c r="E7" s="12">
        <v>2</v>
      </c>
      <c r="F7" s="12">
        <f t="shared" si="0"/>
        <v>500</v>
      </c>
      <c r="G7" s="12">
        <v>1200</v>
      </c>
      <c r="H7">
        <f t="shared" si="1"/>
        <v>4</v>
      </c>
    </row>
    <row r="8" spans="2:15" x14ac:dyDescent="0.25">
      <c r="B8" s="13">
        <v>40087</v>
      </c>
      <c r="C8" s="12">
        <v>4</v>
      </c>
      <c r="D8" s="12" t="s">
        <v>10</v>
      </c>
      <c r="E8" s="12">
        <v>6</v>
      </c>
      <c r="F8" s="12">
        <f t="shared" si="0"/>
        <v>300</v>
      </c>
      <c r="G8" s="12">
        <v>1980</v>
      </c>
      <c r="H8">
        <f t="shared" si="1"/>
        <v>3</v>
      </c>
    </row>
    <row r="9" spans="2:15" x14ac:dyDescent="0.25">
      <c r="B9" s="13">
        <v>40087</v>
      </c>
      <c r="C9" s="12">
        <v>3</v>
      </c>
      <c r="D9" s="12" t="s">
        <v>9</v>
      </c>
      <c r="E9" s="12">
        <v>7</v>
      </c>
      <c r="F9" s="12">
        <f t="shared" si="0"/>
        <v>150</v>
      </c>
      <c r="G9" s="12">
        <v>1155</v>
      </c>
      <c r="H9">
        <f t="shared" si="1"/>
        <v>2</v>
      </c>
    </row>
    <row r="10" spans="2:15" x14ac:dyDescent="0.25">
      <c r="B10" s="13">
        <v>40087</v>
      </c>
      <c r="C10" s="12">
        <v>1</v>
      </c>
      <c r="D10" s="12" t="s">
        <v>7</v>
      </c>
      <c r="E10" s="12">
        <v>2</v>
      </c>
      <c r="F10" s="12">
        <f t="shared" si="0"/>
        <v>100</v>
      </c>
      <c r="G10" s="12">
        <v>220.00000000000003</v>
      </c>
      <c r="H10">
        <f t="shared" si="1"/>
        <v>1</v>
      </c>
      <c r="K10" s="77"/>
      <c r="L10" s="77"/>
      <c r="M10" s="77"/>
      <c r="N10" s="77"/>
      <c r="O10" s="77"/>
    </row>
    <row r="11" spans="2:15" x14ac:dyDescent="0.25">
      <c r="B11" s="13">
        <v>40087</v>
      </c>
      <c r="C11" s="12">
        <v>1</v>
      </c>
      <c r="D11" s="12" t="s">
        <v>7</v>
      </c>
      <c r="E11" s="12">
        <v>4</v>
      </c>
      <c r="F11" s="12">
        <f t="shared" si="0"/>
        <v>100</v>
      </c>
      <c r="G11" s="12">
        <v>440.00000000000006</v>
      </c>
      <c r="H11">
        <f t="shared" si="1"/>
        <v>1</v>
      </c>
    </row>
    <row r="12" spans="2:15" x14ac:dyDescent="0.25">
      <c r="B12" s="13">
        <v>40087</v>
      </c>
      <c r="C12" s="12">
        <v>6</v>
      </c>
      <c r="D12" s="12" t="s">
        <v>12</v>
      </c>
      <c r="E12" s="12">
        <v>7</v>
      </c>
      <c r="F12" s="12">
        <f t="shared" si="0"/>
        <v>500</v>
      </c>
      <c r="G12" s="12">
        <v>4200</v>
      </c>
      <c r="H12">
        <f t="shared" si="1"/>
        <v>4</v>
      </c>
    </row>
    <row r="13" spans="2:15" x14ac:dyDescent="0.25">
      <c r="B13" s="13">
        <v>40087</v>
      </c>
      <c r="C13" s="12">
        <v>5</v>
      </c>
      <c r="D13" s="12" t="s">
        <v>11</v>
      </c>
      <c r="E13" s="12">
        <v>9</v>
      </c>
      <c r="F13" s="12">
        <f t="shared" si="0"/>
        <v>400</v>
      </c>
      <c r="G13" s="12">
        <v>3960.0000000000005</v>
      </c>
      <c r="H13">
        <f t="shared" si="1"/>
        <v>4</v>
      </c>
    </row>
    <row r="14" spans="2:15" x14ac:dyDescent="0.25">
      <c r="B14" s="13">
        <v>40088</v>
      </c>
      <c r="C14" s="12">
        <v>3</v>
      </c>
      <c r="D14" s="12" t="s">
        <v>9</v>
      </c>
      <c r="E14" s="12">
        <v>7</v>
      </c>
      <c r="F14" s="12">
        <f t="shared" si="0"/>
        <v>150</v>
      </c>
      <c r="G14" s="12">
        <v>1155</v>
      </c>
      <c r="H14">
        <f t="shared" si="1"/>
        <v>2</v>
      </c>
    </row>
    <row r="15" spans="2:15" x14ac:dyDescent="0.25">
      <c r="B15" s="13">
        <v>40088</v>
      </c>
      <c r="C15" s="12">
        <v>5</v>
      </c>
      <c r="D15" s="12" t="s">
        <v>11</v>
      </c>
      <c r="E15" s="12">
        <v>6</v>
      </c>
      <c r="F15" s="12">
        <f t="shared" si="0"/>
        <v>400</v>
      </c>
      <c r="G15" s="12">
        <v>2640.0000000000005</v>
      </c>
      <c r="H15">
        <f t="shared" si="1"/>
        <v>4</v>
      </c>
    </row>
    <row r="16" spans="2:15" x14ac:dyDescent="0.25">
      <c r="B16" s="13">
        <v>40088</v>
      </c>
      <c r="C16" s="12">
        <v>4</v>
      </c>
      <c r="D16" s="12" t="s">
        <v>10</v>
      </c>
      <c r="E16" s="12">
        <v>8</v>
      </c>
      <c r="F16" s="12">
        <f t="shared" si="0"/>
        <v>300</v>
      </c>
      <c r="G16" s="12">
        <v>2640</v>
      </c>
      <c r="H16">
        <f t="shared" si="1"/>
        <v>3</v>
      </c>
    </row>
    <row r="17" spans="2:8" x14ac:dyDescent="0.25">
      <c r="B17" s="13">
        <v>40088</v>
      </c>
      <c r="C17" s="12">
        <v>3</v>
      </c>
      <c r="D17" s="12" t="s">
        <v>9</v>
      </c>
      <c r="E17" s="12">
        <v>10</v>
      </c>
      <c r="F17" s="12">
        <f t="shared" si="0"/>
        <v>150</v>
      </c>
      <c r="G17" s="12">
        <v>1650</v>
      </c>
      <c r="H17">
        <f t="shared" si="1"/>
        <v>2</v>
      </c>
    </row>
    <row r="18" spans="2:8" x14ac:dyDescent="0.25">
      <c r="B18" s="13">
        <v>40088</v>
      </c>
      <c r="C18" s="12">
        <v>4</v>
      </c>
      <c r="D18" s="12" t="s">
        <v>10</v>
      </c>
      <c r="E18" s="12">
        <v>7</v>
      </c>
      <c r="F18" s="12">
        <f t="shared" si="0"/>
        <v>300</v>
      </c>
      <c r="G18" s="12">
        <v>2310</v>
      </c>
      <c r="H18">
        <f t="shared" si="1"/>
        <v>3</v>
      </c>
    </row>
    <row r="19" spans="2:8" x14ac:dyDescent="0.25">
      <c r="B19" s="13">
        <v>40088</v>
      </c>
      <c r="C19" s="12">
        <v>5</v>
      </c>
      <c r="D19" s="12" t="s">
        <v>11</v>
      </c>
      <c r="E19" s="12">
        <v>6</v>
      </c>
      <c r="F19" s="12">
        <f t="shared" si="0"/>
        <v>400</v>
      </c>
      <c r="G19" s="12">
        <v>2640.0000000000005</v>
      </c>
      <c r="H19">
        <f t="shared" si="1"/>
        <v>4</v>
      </c>
    </row>
    <row r="20" spans="2:8" x14ac:dyDescent="0.25">
      <c r="B20" s="13">
        <v>40088</v>
      </c>
      <c r="C20" s="12">
        <v>2</v>
      </c>
      <c r="D20" s="12" t="s">
        <v>8</v>
      </c>
      <c r="E20" s="12">
        <v>4</v>
      </c>
      <c r="F20" s="12">
        <f t="shared" si="0"/>
        <v>200</v>
      </c>
      <c r="G20" s="12">
        <v>960</v>
      </c>
      <c r="H20">
        <f t="shared" si="1"/>
        <v>1</v>
      </c>
    </row>
    <row r="21" spans="2:8" x14ac:dyDescent="0.25">
      <c r="B21" s="13">
        <v>40088</v>
      </c>
      <c r="C21" s="12">
        <v>3</v>
      </c>
      <c r="D21" s="12" t="s">
        <v>9</v>
      </c>
      <c r="E21" s="12">
        <v>9</v>
      </c>
      <c r="F21" s="12">
        <f t="shared" si="0"/>
        <v>150</v>
      </c>
      <c r="G21" s="12">
        <v>1485</v>
      </c>
      <c r="H21">
        <f t="shared" si="1"/>
        <v>2</v>
      </c>
    </row>
    <row r="22" spans="2:8" x14ac:dyDescent="0.25">
      <c r="B22" s="13">
        <v>40089</v>
      </c>
      <c r="C22" s="12">
        <v>2</v>
      </c>
      <c r="D22" s="12" t="s">
        <v>8</v>
      </c>
      <c r="E22" s="12">
        <v>9</v>
      </c>
      <c r="F22" s="12">
        <f t="shared" si="0"/>
        <v>200</v>
      </c>
      <c r="G22" s="12">
        <v>2160</v>
      </c>
      <c r="H22">
        <f t="shared" si="1"/>
        <v>1</v>
      </c>
    </row>
    <row r="23" spans="2:8" x14ac:dyDescent="0.25">
      <c r="B23" s="13">
        <v>40089</v>
      </c>
      <c r="C23" s="12">
        <v>2</v>
      </c>
      <c r="D23" s="12" t="s">
        <v>8</v>
      </c>
      <c r="E23" s="12">
        <v>4</v>
      </c>
      <c r="F23" s="12">
        <f t="shared" si="0"/>
        <v>200</v>
      </c>
      <c r="G23" s="12">
        <v>960</v>
      </c>
      <c r="H23">
        <f t="shared" si="1"/>
        <v>1</v>
      </c>
    </row>
    <row r="24" spans="2:8" x14ac:dyDescent="0.25">
      <c r="B24" s="13">
        <v>40089</v>
      </c>
      <c r="C24" s="12">
        <v>1</v>
      </c>
      <c r="D24" s="12" t="s">
        <v>7</v>
      </c>
      <c r="E24" s="12">
        <v>4</v>
      </c>
      <c r="F24" s="12">
        <f t="shared" si="0"/>
        <v>100</v>
      </c>
      <c r="G24" s="12">
        <v>440.00000000000006</v>
      </c>
      <c r="H24">
        <f t="shared" si="1"/>
        <v>1</v>
      </c>
    </row>
    <row r="25" spans="2:8" x14ac:dyDescent="0.25">
      <c r="B25" s="13">
        <v>40089</v>
      </c>
      <c r="C25" s="12">
        <v>3</v>
      </c>
      <c r="D25" s="12" t="s">
        <v>9</v>
      </c>
      <c r="E25" s="12">
        <v>3</v>
      </c>
      <c r="F25" s="12">
        <f t="shared" si="0"/>
        <v>150</v>
      </c>
      <c r="G25" s="12">
        <v>495</v>
      </c>
      <c r="H25">
        <f t="shared" si="1"/>
        <v>2</v>
      </c>
    </row>
    <row r="26" spans="2:8" x14ac:dyDescent="0.25">
      <c r="B26" s="13">
        <v>40089</v>
      </c>
      <c r="C26" s="12">
        <v>6</v>
      </c>
      <c r="D26" s="12" t="s">
        <v>12</v>
      </c>
      <c r="E26" s="12">
        <v>3</v>
      </c>
      <c r="F26" s="12">
        <f t="shared" si="0"/>
        <v>500</v>
      </c>
      <c r="G26" s="12">
        <v>1800</v>
      </c>
      <c r="H26">
        <f t="shared" si="1"/>
        <v>4</v>
      </c>
    </row>
    <row r="27" spans="2:8" x14ac:dyDescent="0.25">
      <c r="B27" s="13">
        <v>40090</v>
      </c>
      <c r="C27" s="12">
        <v>6</v>
      </c>
      <c r="D27" s="12" t="s">
        <v>12</v>
      </c>
      <c r="E27" s="12">
        <v>4</v>
      </c>
      <c r="F27" s="12">
        <f t="shared" si="0"/>
        <v>500</v>
      </c>
      <c r="G27" s="12">
        <v>2400</v>
      </c>
      <c r="H27">
        <f t="shared" si="1"/>
        <v>4</v>
      </c>
    </row>
    <row r="28" spans="2:8" x14ac:dyDescent="0.25">
      <c r="B28" s="13">
        <v>40090</v>
      </c>
      <c r="C28" s="12">
        <v>3</v>
      </c>
      <c r="D28" s="12" t="s">
        <v>9</v>
      </c>
      <c r="E28" s="12">
        <v>4</v>
      </c>
      <c r="F28" s="12">
        <f t="shared" si="0"/>
        <v>150</v>
      </c>
      <c r="G28" s="12">
        <v>660</v>
      </c>
      <c r="H28">
        <f t="shared" si="1"/>
        <v>2</v>
      </c>
    </row>
    <row r="29" spans="2:8" x14ac:dyDescent="0.25">
      <c r="B29" s="13">
        <v>40090</v>
      </c>
      <c r="C29" s="12">
        <v>6</v>
      </c>
      <c r="D29" s="12" t="s">
        <v>12</v>
      </c>
      <c r="E29" s="12">
        <v>2</v>
      </c>
      <c r="F29" s="12">
        <f t="shared" si="0"/>
        <v>500</v>
      </c>
      <c r="G29" s="12">
        <v>1200</v>
      </c>
      <c r="H29">
        <f t="shared" si="1"/>
        <v>4</v>
      </c>
    </row>
    <row r="30" spans="2:8" x14ac:dyDescent="0.25">
      <c r="B30" s="13">
        <v>40090</v>
      </c>
      <c r="C30" s="12">
        <v>1</v>
      </c>
      <c r="D30" s="12" t="s">
        <v>7</v>
      </c>
      <c r="E30" s="12">
        <v>6</v>
      </c>
      <c r="F30" s="12">
        <f t="shared" si="0"/>
        <v>100</v>
      </c>
      <c r="G30" s="12">
        <v>660.00000000000011</v>
      </c>
      <c r="H30">
        <f t="shared" si="1"/>
        <v>1</v>
      </c>
    </row>
    <row r="31" spans="2:8" x14ac:dyDescent="0.25">
      <c r="B31" s="13">
        <v>40090</v>
      </c>
      <c r="C31" s="12">
        <v>6</v>
      </c>
      <c r="D31" s="12" t="s">
        <v>12</v>
      </c>
      <c r="E31" s="12">
        <v>5</v>
      </c>
      <c r="F31" s="12">
        <f t="shared" si="0"/>
        <v>500</v>
      </c>
      <c r="G31" s="12">
        <v>3000</v>
      </c>
      <c r="H31">
        <f t="shared" si="1"/>
        <v>4</v>
      </c>
    </row>
    <row r="32" spans="2:8" x14ac:dyDescent="0.25">
      <c r="B32" s="13">
        <v>40090</v>
      </c>
      <c r="C32" s="12">
        <v>1</v>
      </c>
      <c r="D32" s="12" t="s">
        <v>7</v>
      </c>
      <c r="E32" s="12">
        <v>1</v>
      </c>
      <c r="F32" s="12">
        <f t="shared" si="0"/>
        <v>100</v>
      </c>
      <c r="G32" s="12">
        <v>110.00000000000001</v>
      </c>
      <c r="H32">
        <f t="shared" si="1"/>
        <v>1</v>
      </c>
    </row>
    <row r="33" spans="2:8" x14ac:dyDescent="0.25">
      <c r="B33" s="13">
        <v>40090</v>
      </c>
      <c r="C33" s="12">
        <v>6</v>
      </c>
      <c r="D33" s="12" t="s">
        <v>12</v>
      </c>
      <c r="E33" s="12">
        <v>8</v>
      </c>
      <c r="F33" s="12">
        <f t="shared" si="0"/>
        <v>500</v>
      </c>
      <c r="G33" s="12">
        <v>4800</v>
      </c>
      <c r="H33">
        <f t="shared" si="1"/>
        <v>4</v>
      </c>
    </row>
    <row r="34" spans="2:8" x14ac:dyDescent="0.25">
      <c r="B34" s="13">
        <v>40090</v>
      </c>
      <c r="C34" s="12">
        <v>4</v>
      </c>
      <c r="D34" s="12" t="s">
        <v>10</v>
      </c>
      <c r="E34" s="12">
        <v>6</v>
      </c>
      <c r="F34" s="12">
        <f t="shared" si="0"/>
        <v>300</v>
      </c>
      <c r="G34" s="12">
        <v>1980</v>
      </c>
      <c r="H34">
        <f t="shared" si="1"/>
        <v>3</v>
      </c>
    </row>
    <row r="35" spans="2:8" x14ac:dyDescent="0.25">
      <c r="B35" s="13">
        <v>40090</v>
      </c>
      <c r="C35" s="12">
        <v>5</v>
      </c>
      <c r="D35" s="12" t="s">
        <v>11</v>
      </c>
      <c r="E35" s="12">
        <v>10</v>
      </c>
      <c r="F35" s="12">
        <f t="shared" si="0"/>
        <v>400</v>
      </c>
      <c r="G35" s="12">
        <v>4400.0000000000009</v>
      </c>
      <c r="H35">
        <f t="shared" si="1"/>
        <v>4</v>
      </c>
    </row>
    <row r="36" spans="2:8" x14ac:dyDescent="0.25">
      <c r="B36" s="13">
        <v>40091</v>
      </c>
      <c r="C36" s="12">
        <v>1</v>
      </c>
      <c r="D36" s="12" t="s">
        <v>7</v>
      </c>
      <c r="E36" s="12">
        <v>6</v>
      </c>
      <c r="F36" s="12">
        <f t="shared" si="0"/>
        <v>100</v>
      </c>
      <c r="G36" s="12">
        <v>660.00000000000011</v>
      </c>
      <c r="H36">
        <f t="shared" si="1"/>
        <v>1</v>
      </c>
    </row>
    <row r="37" spans="2:8" x14ac:dyDescent="0.25">
      <c r="B37" s="13">
        <v>40091</v>
      </c>
      <c r="C37" s="12">
        <v>4</v>
      </c>
      <c r="D37" s="12" t="s">
        <v>10</v>
      </c>
      <c r="E37" s="12">
        <v>10</v>
      </c>
      <c r="F37" s="12">
        <f t="shared" si="0"/>
        <v>300</v>
      </c>
      <c r="G37" s="12">
        <v>3300</v>
      </c>
      <c r="H37">
        <f t="shared" si="1"/>
        <v>3</v>
      </c>
    </row>
    <row r="38" spans="2:8" x14ac:dyDescent="0.25">
      <c r="B38" s="13">
        <v>40091</v>
      </c>
      <c r="C38" s="12">
        <v>1</v>
      </c>
      <c r="D38" s="12" t="s">
        <v>7</v>
      </c>
      <c r="E38" s="12">
        <v>1</v>
      </c>
      <c r="F38" s="12">
        <f t="shared" si="0"/>
        <v>100</v>
      </c>
      <c r="G38" s="12">
        <v>110.00000000000001</v>
      </c>
      <c r="H38">
        <f t="shared" si="1"/>
        <v>1</v>
      </c>
    </row>
    <row r="39" spans="2:8" x14ac:dyDescent="0.25">
      <c r="B39" s="13">
        <v>40091</v>
      </c>
      <c r="C39" s="12">
        <v>1</v>
      </c>
      <c r="D39" s="12" t="s">
        <v>7</v>
      </c>
      <c r="E39" s="12">
        <v>2</v>
      </c>
      <c r="F39" s="12">
        <f t="shared" si="0"/>
        <v>100</v>
      </c>
      <c r="G39" s="12">
        <v>220.00000000000003</v>
      </c>
      <c r="H39">
        <f t="shared" si="1"/>
        <v>1</v>
      </c>
    </row>
    <row r="40" spans="2:8" x14ac:dyDescent="0.25">
      <c r="B40" s="13">
        <v>40091</v>
      </c>
      <c r="C40" s="12">
        <v>2</v>
      </c>
      <c r="D40" s="12" t="s">
        <v>8</v>
      </c>
      <c r="E40" s="12">
        <v>10</v>
      </c>
      <c r="F40" s="12">
        <f t="shared" si="0"/>
        <v>200</v>
      </c>
      <c r="G40" s="12">
        <v>2400</v>
      </c>
      <c r="H40">
        <f t="shared" si="1"/>
        <v>1</v>
      </c>
    </row>
    <row r="41" spans="2:8" x14ac:dyDescent="0.25">
      <c r="B41" s="13">
        <v>40091</v>
      </c>
      <c r="C41" s="12">
        <v>4</v>
      </c>
      <c r="D41" s="12" t="s">
        <v>10</v>
      </c>
      <c r="E41" s="12">
        <v>2</v>
      </c>
      <c r="F41" s="12">
        <f t="shared" si="0"/>
        <v>300</v>
      </c>
      <c r="G41" s="12">
        <v>660</v>
      </c>
      <c r="H41">
        <f t="shared" si="1"/>
        <v>3</v>
      </c>
    </row>
    <row r="42" spans="2:8" x14ac:dyDescent="0.25">
      <c r="B42" s="13">
        <v>40091</v>
      </c>
      <c r="C42" s="12">
        <v>2</v>
      </c>
      <c r="D42" s="12" t="s">
        <v>8</v>
      </c>
      <c r="E42" s="12">
        <v>8</v>
      </c>
      <c r="F42" s="12">
        <f t="shared" si="0"/>
        <v>200</v>
      </c>
      <c r="G42" s="12">
        <v>1920</v>
      </c>
      <c r="H42">
        <f t="shared" si="1"/>
        <v>1</v>
      </c>
    </row>
    <row r="43" spans="2:8" x14ac:dyDescent="0.25">
      <c r="B43" s="13">
        <v>40091</v>
      </c>
      <c r="C43" s="12">
        <v>4</v>
      </c>
      <c r="D43" s="12" t="s">
        <v>10</v>
      </c>
      <c r="E43" s="12">
        <v>7</v>
      </c>
      <c r="F43" s="12">
        <f t="shared" si="0"/>
        <v>300</v>
      </c>
      <c r="G43" s="12">
        <v>2310</v>
      </c>
      <c r="H43">
        <f t="shared" si="1"/>
        <v>3</v>
      </c>
    </row>
    <row r="44" spans="2:8" x14ac:dyDescent="0.25">
      <c r="B44" s="13">
        <v>40092</v>
      </c>
      <c r="C44" s="12">
        <v>6</v>
      </c>
      <c r="D44" s="12" t="s">
        <v>12</v>
      </c>
      <c r="E44" s="12">
        <v>5</v>
      </c>
      <c r="F44" s="12">
        <f t="shared" si="0"/>
        <v>500</v>
      </c>
      <c r="G44" s="12">
        <v>3000</v>
      </c>
      <c r="H44">
        <f t="shared" si="1"/>
        <v>4</v>
      </c>
    </row>
    <row r="45" spans="2:8" x14ac:dyDescent="0.25">
      <c r="B45" s="13">
        <v>40092</v>
      </c>
      <c r="C45" s="12">
        <v>3</v>
      </c>
      <c r="D45" s="12" t="s">
        <v>9</v>
      </c>
      <c r="E45" s="12">
        <v>8</v>
      </c>
      <c r="F45" s="12">
        <f t="shared" si="0"/>
        <v>150</v>
      </c>
      <c r="G45" s="12">
        <v>1320</v>
      </c>
      <c r="H45">
        <f t="shared" si="1"/>
        <v>2</v>
      </c>
    </row>
    <row r="46" spans="2:8" x14ac:dyDescent="0.25">
      <c r="B46" s="13">
        <v>40092</v>
      </c>
      <c r="C46" s="12">
        <v>4</v>
      </c>
      <c r="D46" s="12" t="s">
        <v>10</v>
      </c>
      <c r="E46" s="12">
        <v>3</v>
      </c>
      <c r="F46" s="12">
        <f t="shared" si="0"/>
        <v>300</v>
      </c>
      <c r="G46" s="12">
        <v>990</v>
      </c>
      <c r="H46">
        <f t="shared" si="1"/>
        <v>3</v>
      </c>
    </row>
    <row r="47" spans="2:8" x14ac:dyDescent="0.25">
      <c r="B47" s="13">
        <v>40092</v>
      </c>
      <c r="C47" s="12">
        <v>4</v>
      </c>
      <c r="D47" s="12" t="s">
        <v>10</v>
      </c>
      <c r="E47" s="12">
        <v>7</v>
      </c>
      <c r="F47" s="12">
        <f t="shared" si="0"/>
        <v>300</v>
      </c>
      <c r="G47" s="12">
        <v>2310</v>
      </c>
      <c r="H47">
        <f t="shared" si="1"/>
        <v>3</v>
      </c>
    </row>
    <row r="48" spans="2:8" x14ac:dyDescent="0.25">
      <c r="B48" s="13">
        <v>40092</v>
      </c>
      <c r="C48" s="12">
        <v>5</v>
      </c>
      <c r="D48" s="12" t="s">
        <v>11</v>
      </c>
      <c r="E48" s="12">
        <v>4</v>
      </c>
      <c r="F48" s="12">
        <f t="shared" si="0"/>
        <v>400</v>
      </c>
      <c r="G48" s="12">
        <v>1760.0000000000002</v>
      </c>
      <c r="H48">
        <f t="shared" si="1"/>
        <v>4</v>
      </c>
    </row>
    <row r="49" spans="2:8" x14ac:dyDescent="0.25">
      <c r="B49" s="13">
        <v>40092</v>
      </c>
      <c r="C49" s="12">
        <v>4</v>
      </c>
      <c r="D49" s="12" t="s">
        <v>10</v>
      </c>
      <c r="E49" s="12">
        <v>3</v>
      </c>
      <c r="F49" s="12">
        <f t="shared" si="0"/>
        <v>300</v>
      </c>
      <c r="G49" s="12">
        <v>990</v>
      </c>
      <c r="H49">
        <f t="shared" si="1"/>
        <v>3</v>
      </c>
    </row>
    <row r="50" spans="2:8" x14ac:dyDescent="0.25">
      <c r="B50" s="13">
        <v>40092</v>
      </c>
      <c r="C50" s="12">
        <v>5</v>
      </c>
      <c r="D50" s="12" t="s">
        <v>11</v>
      </c>
      <c r="E50" s="12">
        <v>2</v>
      </c>
      <c r="F50" s="12">
        <f t="shared" si="0"/>
        <v>400</v>
      </c>
      <c r="G50" s="12">
        <v>880.00000000000011</v>
      </c>
      <c r="H50">
        <f t="shared" si="1"/>
        <v>4</v>
      </c>
    </row>
    <row r="51" spans="2:8" x14ac:dyDescent="0.25">
      <c r="B51" s="13">
        <v>40093</v>
      </c>
      <c r="C51" s="12">
        <v>5</v>
      </c>
      <c r="D51" s="12" t="s">
        <v>11</v>
      </c>
      <c r="E51" s="12">
        <v>2</v>
      </c>
      <c r="F51" s="12">
        <f t="shared" si="0"/>
        <v>400</v>
      </c>
      <c r="G51" s="12">
        <v>880.00000000000011</v>
      </c>
      <c r="H51">
        <f t="shared" si="1"/>
        <v>4</v>
      </c>
    </row>
    <row r="52" spans="2:8" x14ac:dyDescent="0.25">
      <c r="B52" s="13">
        <v>40093</v>
      </c>
      <c r="C52" s="12">
        <v>5</v>
      </c>
      <c r="D52" s="12" t="s">
        <v>11</v>
      </c>
      <c r="E52" s="12">
        <v>5</v>
      </c>
      <c r="F52" s="12">
        <f t="shared" si="0"/>
        <v>400</v>
      </c>
      <c r="G52" s="12">
        <v>2200.0000000000005</v>
      </c>
      <c r="H52">
        <f t="shared" si="1"/>
        <v>4</v>
      </c>
    </row>
    <row r="53" spans="2:8" x14ac:dyDescent="0.25">
      <c r="B53" s="13">
        <v>40093</v>
      </c>
      <c r="C53" s="12">
        <v>4</v>
      </c>
      <c r="D53" s="12" t="s">
        <v>10</v>
      </c>
      <c r="E53" s="12">
        <v>6</v>
      </c>
      <c r="F53" s="12">
        <f t="shared" si="0"/>
        <v>300</v>
      </c>
      <c r="G53" s="12">
        <v>1980</v>
      </c>
      <c r="H53">
        <f t="shared" si="1"/>
        <v>3</v>
      </c>
    </row>
    <row r="54" spans="2:8" x14ac:dyDescent="0.25">
      <c r="B54" s="13">
        <v>40093</v>
      </c>
      <c r="C54" s="12">
        <v>4</v>
      </c>
      <c r="D54" s="12" t="s">
        <v>10</v>
      </c>
      <c r="E54" s="12">
        <v>9</v>
      </c>
      <c r="F54" s="12">
        <f t="shared" si="0"/>
        <v>300</v>
      </c>
      <c r="G54" s="12">
        <v>2970</v>
      </c>
      <c r="H54">
        <f t="shared" si="1"/>
        <v>3</v>
      </c>
    </row>
    <row r="55" spans="2:8" x14ac:dyDescent="0.25">
      <c r="B55" s="13">
        <v>40093</v>
      </c>
      <c r="C55" s="12">
        <v>3</v>
      </c>
      <c r="D55" s="12" t="s">
        <v>9</v>
      </c>
      <c r="E55" s="12">
        <v>7</v>
      </c>
      <c r="F55" s="12">
        <f t="shared" si="0"/>
        <v>150</v>
      </c>
      <c r="G55" s="12">
        <v>1155</v>
      </c>
      <c r="H55">
        <f t="shared" si="1"/>
        <v>2</v>
      </c>
    </row>
    <row r="56" spans="2:8" x14ac:dyDescent="0.25">
      <c r="B56" s="13">
        <v>40093</v>
      </c>
      <c r="C56" s="12">
        <v>2</v>
      </c>
      <c r="D56" s="12" t="s">
        <v>8</v>
      </c>
      <c r="E56" s="12">
        <v>7</v>
      </c>
      <c r="F56" s="12">
        <f t="shared" si="0"/>
        <v>200</v>
      </c>
      <c r="G56" s="12">
        <v>1680</v>
      </c>
      <c r="H56">
        <f t="shared" si="1"/>
        <v>1</v>
      </c>
    </row>
    <row r="57" spans="2:8" x14ac:dyDescent="0.25">
      <c r="B57" s="13">
        <v>40093</v>
      </c>
      <c r="C57" s="12">
        <v>4</v>
      </c>
      <c r="D57" s="12" t="s">
        <v>10</v>
      </c>
      <c r="E57" s="12">
        <v>10</v>
      </c>
      <c r="F57" s="12">
        <f t="shared" si="0"/>
        <v>300</v>
      </c>
      <c r="G57" s="12">
        <v>3300</v>
      </c>
      <c r="H57">
        <f t="shared" si="1"/>
        <v>3</v>
      </c>
    </row>
    <row r="58" spans="2:8" x14ac:dyDescent="0.25">
      <c r="B58" s="13">
        <v>40093</v>
      </c>
      <c r="C58" s="12">
        <v>2</v>
      </c>
      <c r="D58" s="12" t="s">
        <v>8</v>
      </c>
      <c r="E58" s="12">
        <v>1</v>
      </c>
      <c r="F58" s="12">
        <f t="shared" si="0"/>
        <v>200</v>
      </c>
      <c r="G58" s="12">
        <v>240</v>
      </c>
      <c r="H58">
        <f t="shared" si="1"/>
        <v>1</v>
      </c>
    </row>
    <row r="59" spans="2:8" x14ac:dyDescent="0.25">
      <c r="B59" s="13">
        <v>40093</v>
      </c>
      <c r="C59" s="12">
        <v>5</v>
      </c>
      <c r="D59" s="12" t="s">
        <v>11</v>
      </c>
      <c r="E59" s="12">
        <v>2</v>
      </c>
      <c r="F59" s="12">
        <f t="shared" si="0"/>
        <v>400</v>
      </c>
      <c r="G59" s="12">
        <v>880.00000000000011</v>
      </c>
      <c r="H59">
        <f t="shared" si="1"/>
        <v>4</v>
      </c>
    </row>
    <row r="60" spans="2:8" x14ac:dyDescent="0.25">
      <c r="B60" s="13">
        <v>40093</v>
      </c>
      <c r="C60" s="12">
        <v>4</v>
      </c>
      <c r="D60" s="12" t="s">
        <v>10</v>
      </c>
      <c r="E60" s="12">
        <v>6</v>
      </c>
      <c r="F60" s="12">
        <f t="shared" si="0"/>
        <v>300</v>
      </c>
      <c r="G60" s="12">
        <v>1980</v>
      </c>
      <c r="H60">
        <f t="shared" si="1"/>
        <v>3</v>
      </c>
    </row>
    <row r="61" spans="2:8" x14ac:dyDescent="0.25">
      <c r="B61" s="13">
        <v>40093</v>
      </c>
      <c r="C61" s="12">
        <v>4</v>
      </c>
      <c r="D61" s="12" t="s">
        <v>10</v>
      </c>
      <c r="E61" s="12">
        <v>2</v>
      </c>
      <c r="F61" s="12">
        <f t="shared" si="0"/>
        <v>300</v>
      </c>
      <c r="G61" s="12">
        <v>660</v>
      </c>
      <c r="H61">
        <f t="shared" si="1"/>
        <v>3</v>
      </c>
    </row>
    <row r="62" spans="2:8" x14ac:dyDescent="0.25">
      <c r="B62" s="13">
        <v>40094</v>
      </c>
      <c r="C62" s="12">
        <v>2</v>
      </c>
      <c r="D62" s="12" t="s">
        <v>8</v>
      </c>
      <c r="E62" s="12">
        <v>9</v>
      </c>
      <c r="F62" s="12">
        <f t="shared" si="0"/>
        <v>200</v>
      </c>
      <c r="G62" s="12">
        <v>2160</v>
      </c>
      <c r="H62">
        <f t="shared" si="1"/>
        <v>1</v>
      </c>
    </row>
    <row r="63" spans="2:8" x14ac:dyDescent="0.25">
      <c r="B63" s="13">
        <v>40094</v>
      </c>
      <c r="C63" s="12">
        <v>4</v>
      </c>
      <c r="D63" s="12" t="s">
        <v>10</v>
      </c>
      <c r="E63" s="12">
        <v>7</v>
      </c>
      <c r="F63" s="12">
        <f t="shared" si="0"/>
        <v>300</v>
      </c>
      <c r="G63" s="12">
        <v>2310</v>
      </c>
      <c r="H63">
        <f t="shared" si="1"/>
        <v>3</v>
      </c>
    </row>
    <row r="64" spans="2:8" x14ac:dyDescent="0.25">
      <c r="B64" s="13">
        <v>40094</v>
      </c>
      <c r="C64" s="12">
        <v>2</v>
      </c>
      <c r="D64" s="12" t="s">
        <v>8</v>
      </c>
      <c r="E64" s="12">
        <v>7</v>
      </c>
      <c r="F64" s="12">
        <f t="shared" si="0"/>
        <v>200</v>
      </c>
      <c r="G64" s="12">
        <v>1680</v>
      </c>
      <c r="H64">
        <f t="shared" si="1"/>
        <v>1</v>
      </c>
    </row>
    <row r="65" spans="2:8" x14ac:dyDescent="0.25">
      <c r="B65" s="13">
        <v>40094</v>
      </c>
      <c r="C65" s="12">
        <v>6</v>
      </c>
      <c r="D65" s="12" t="s">
        <v>12</v>
      </c>
      <c r="E65" s="12">
        <v>4</v>
      </c>
      <c r="F65" s="12">
        <f t="shared" si="0"/>
        <v>500</v>
      </c>
      <c r="G65" s="12">
        <v>2400</v>
      </c>
      <c r="H65">
        <f t="shared" si="1"/>
        <v>4</v>
      </c>
    </row>
    <row r="66" spans="2:8" x14ac:dyDescent="0.25">
      <c r="B66" s="13">
        <v>40094</v>
      </c>
      <c r="C66" s="12">
        <v>4</v>
      </c>
      <c r="D66" s="12" t="s">
        <v>10</v>
      </c>
      <c r="E66" s="12">
        <v>2</v>
      </c>
      <c r="F66" s="12">
        <f t="shared" si="0"/>
        <v>300</v>
      </c>
      <c r="G66" s="12">
        <v>660</v>
      </c>
      <c r="H66">
        <f t="shared" si="1"/>
        <v>3</v>
      </c>
    </row>
    <row r="67" spans="2:8" x14ac:dyDescent="0.25">
      <c r="B67" s="13">
        <v>40094</v>
      </c>
      <c r="C67" s="12">
        <v>6</v>
      </c>
      <c r="D67" s="12" t="s">
        <v>12</v>
      </c>
      <c r="E67" s="12">
        <v>10</v>
      </c>
      <c r="F67" s="12">
        <f t="shared" ref="F67:F130" si="2" xml:space="preserve"> VLOOKUP(C67, Справочник_товары,4)</f>
        <v>500</v>
      </c>
      <c r="G67" s="12">
        <v>6000</v>
      </c>
      <c r="H67">
        <f t="shared" ref="H67:H130" si="3" xml:space="preserve"> VLOOKUP(C67, Справочник_товары,6)</f>
        <v>4</v>
      </c>
    </row>
    <row r="68" spans="2:8" x14ac:dyDescent="0.25">
      <c r="B68" s="13">
        <v>40094</v>
      </c>
      <c r="C68" s="12">
        <v>4</v>
      </c>
      <c r="D68" s="12" t="s">
        <v>10</v>
      </c>
      <c r="E68" s="12">
        <v>5</v>
      </c>
      <c r="F68" s="12">
        <f t="shared" si="2"/>
        <v>300</v>
      </c>
      <c r="G68" s="12">
        <v>1650</v>
      </c>
      <c r="H68">
        <f t="shared" si="3"/>
        <v>3</v>
      </c>
    </row>
    <row r="69" spans="2:8" x14ac:dyDescent="0.25">
      <c r="B69" s="13">
        <v>40094</v>
      </c>
      <c r="C69" s="12">
        <v>3</v>
      </c>
      <c r="D69" s="12" t="s">
        <v>9</v>
      </c>
      <c r="E69" s="12">
        <v>5</v>
      </c>
      <c r="F69" s="12">
        <f t="shared" si="2"/>
        <v>150</v>
      </c>
      <c r="G69" s="12">
        <v>825</v>
      </c>
      <c r="H69">
        <f t="shared" si="3"/>
        <v>2</v>
      </c>
    </row>
    <row r="70" spans="2:8" x14ac:dyDescent="0.25">
      <c r="B70" s="13">
        <v>40094</v>
      </c>
      <c r="C70" s="12">
        <v>2</v>
      </c>
      <c r="D70" s="12" t="s">
        <v>8</v>
      </c>
      <c r="E70" s="12">
        <v>2</v>
      </c>
      <c r="F70" s="12">
        <f t="shared" si="2"/>
        <v>200</v>
      </c>
      <c r="G70" s="12">
        <v>480</v>
      </c>
      <c r="H70">
        <f t="shared" si="3"/>
        <v>1</v>
      </c>
    </row>
    <row r="71" spans="2:8" x14ac:dyDescent="0.25">
      <c r="B71" s="13">
        <v>40095</v>
      </c>
      <c r="C71" s="12">
        <v>2</v>
      </c>
      <c r="D71" s="12" t="s">
        <v>8</v>
      </c>
      <c r="E71" s="12">
        <v>10</v>
      </c>
      <c r="F71" s="12">
        <f t="shared" si="2"/>
        <v>200</v>
      </c>
      <c r="G71" s="12">
        <v>2400</v>
      </c>
      <c r="H71">
        <f t="shared" si="3"/>
        <v>1</v>
      </c>
    </row>
    <row r="72" spans="2:8" x14ac:dyDescent="0.25">
      <c r="B72" s="13">
        <v>40095</v>
      </c>
      <c r="C72" s="12">
        <v>6</v>
      </c>
      <c r="D72" s="12" t="s">
        <v>12</v>
      </c>
      <c r="E72" s="12">
        <v>3</v>
      </c>
      <c r="F72" s="12">
        <f t="shared" si="2"/>
        <v>500</v>
      </c>
      <c r="G72" s="12">
        <v>1800</v>
      </c>
      <c r="H72">
        <f t="shared" si="3"/>
        <v>4</v>
      </c>
    </row>
    <row r="73" spans="2:8" x14ac:dyDescent="0.25">
      <c r="B73" s="13">
        <v>40095</v>
      </c>
      <c r="C73" s="12">
        <v>6</v>
      </c>
      <c r="D73" s="12" t="s">
        <v>12</v>
      </c>
      <c r="E73" s="12">
        <v>2</v>
      </c>
      <c r="F73" s="12">
        <f t="shared" si="2"/>
        <v>500</v>
      </c>
      <c r="G73" s="12">
        <v>1200</v>
      </c>
      <c r="H73">
        <f t="shared" si="3"/>
        <v>4</v>
      </c>
    </row>
    <row r="74" spans="2:8" x14ac:dyDescent="0.25">
      <c r="B74" s="13">
        <v>40095</v>
      </c>
      <c r="C74" s="12">
        <v>3</v>
      </c>
      <c r="D74" s="12" t="s">
        <v>9</v>
      </c>
      <c r="E74" s="12">
        <v>8</v>
      </c>
      <c r="F74" s="12">
        <f t="shared" si="2"/>
        <v>150</v>
      </c>
      <c r="G74" s="12">
        <v>1320</v>
      </c>
      <c r="H74">
        <f t="shared" si="3"/>
        <v>2</v>
      </c>
    </row>
    <row r="75" spans="2:8" x14ac:dyDescent="0.25">
      <c r="B75" s="13">
        <v>40095</v>
      </c>
      <c r="C75" s="12">
        <v>1</v>
      </c>
      <c r="D75" s="12" t="s">
        <v>7</v>
      </c>
      <c r="E75" s="12">
        <v>7</v>
      </c>
      <c r="F75" s="12">
        <f t="shared" si="2"/>
        <v>100</v>
      </c>
      <c r="G75" s="12">
        <v>770.00000000000011</v>
      </c>
      <c r="H75">
        <f t="shared" si="3"/>
        <v>1</v>
      </c>
    </row>
    <row r="76" spans="2:8" x14ac:dyDescent="0.25">
      <c r="B76" s="13">
        <v>40095</v>
      </c>
      <c r="C76" s="12">
        <v>1</v>
      </c>
      <c r="D76" s="12" t="s">
        <v>7</v>
      </c>
      <c r="E76" s="12">
        <v>4</v>
      </c>
      <c r="F76" s="12">
        <f t="shared" si="2"/>
        <v>100</v>
      </c>
      <c r="G76" s="12">
        <v>440.00000000000006</v>
      </c>
      <c r="H76">
        <f t="shared" si="3"/>
        <v>1</v>
      </c>
    </row>
    <row r="77" spans="2:8" x14ac:dyDescent="0.25">
      <c r="B77" s="13">
        <v>40095</v>
      </c>
      <c r="C77" s="12">
        <v>5</v>
      </c>
      <c r="D77" s="12" t="s">
        <v>11</v>
      </c>
      <c r="E77" s="12">
        <v>1</v>
      </c>
      <c r="F77" s="12">
        <f t="shared" si="2"/>
        <v>400</v>
      </c>
      <c r="G77" s="12">
        <v>440.00000000000006</v>
      </c>
      <c r="H77">
        <f t="shared" si="3"/>
        <v>4</v>
      </c>
    </row>
    <row r="78" spans="2:8" x14ac:dyDescent="0.25">
      <c r="B78" s="13">
        <v>40096</v>
      </c>
      <c r="C78" s="12">
        <v>4</v>
      </c>
      <c r="D78" s="12" t="s">
        <v>10</v>
      </c>
      <c r="E78" s="12">
        <v>6</v>
      </c>
      <c r="F78" s="12">
        <f t="shared" si="2"/>
        <v>300</v>
      </c>
      <c r="G78" s="12">
        <v>1980</v>
      </c>
      <c r="H78">
        <f t="shared" si="3"/>
        <v>3</v>
      </c>
    </row>
    <row r="79" spans="2:8" x14ac:dyDescent="0.25">
      <c r="B79" s="13">
        <v>40096</v>
      </c>
      <c r="C79" s="12">
        <v>5</v>
      </c>
      <c r="D79" s="12" t="s">
        <v>11</v>
      </c>
      <c r="E79" s="12">
        <v>9</v>
      </c>
      <c r="F79" s="12">
        <f t="shared" si="2"/>
        <v>400</v>
      </c>
      <c r="G79" s="12">
        <v>3960.0000000000005</v>
      </c>
      <c r="H79">
        <f t="shared" si="3"/>
        <v>4</v>
      </c>
    </row>
    <row r="80" spans="2:8" x14ac:dyDescent="0.25">
      <c r="B80" s="13">
        <v>40096</v>
      </c>
      <c r="C80" s="12">
        <v>1</v>
      </c>
      <c r="D80" s="12" t="s">
        <v>7</v>
      </c>
      <c r="E80" s="12">
        <v>7</v>
      </c>
      <c r="F80" s="12">
        <f t="shared" si="2"/>
        <v>100</v>
      </c>
      <c r="G80" s="12">
        <v>770.00000000000011</v>
      </c>
      <c r="H80">
        <f t="shared" si="3"/>
        <v>1</v>
      </c>
    </row>
    <row r="81" spans="2:8" x14ac:dyDescent="0.25">
      <c r="B81" s="13">
        <v>40096</v>
      </c>
      <c r="C81" s="12">
        <v>4</v>
      </c>
      <c r="D81" s="12" t="s">
        <v>10</v>
      </c>
      <c r="E81" s="12">
        <v>4</v>
      </c>
      <c r="F81" s="12">
        <f t="shared" si="2"/>
        <v>300</v>
      </c>
      <c r="G81" s="12">
        <v>1320</v>
      </c>
      <c r="H81">
        <f t="shared" si="3"/>
        <v>3</v>
      </c>
    </row>
    <row r="82" spans="2:8" x14ac:dyDescent="0.25">
      <c r="B82" s="13">
        <v>40096</v>
      </c>
      <c r="C82" s="12">
        <v>5</v>
      </c>
      <c r="D82" s="12" t="s">
        <v>11</v>
      </c>
      <c r="E82" s="12">
        <v>4</v>
      </c>
      <c r="F82" s="12">
        <f t="shared" si="2"/>
        <v>400</v>
      </c>
      <c r="G82" s="12">
        <v>1760.0000000000002</v>
      </c>
      <c r="H82">
        <f t="shared" si="3"/>
        <v>4</v>
      </c>
    </row>
    <row r="83" spans="2:8" x14ac:dyDescent="0.25">
      <c r="B83" s="13">
        <v>40096</v>
      </c>
      <c r="C83" s="12">
        <v>5</v>
      </c>
      <c r="D83" s="12" t="s">
        <v>11</v>
      </c>
      <c r="E83" s="12">
        <v>6</v>
      </c>
      <c r="F83" s="12">
        <f t="shared" si="2"/>
        <v>400</v>
      </c>
      <c r="G83" s="12">
        <v>2640.0000000000005</v>
      </c>
      <c r="H83">
        <f t="shared" si="3"/>
        <v>4</v>
      </c>
    </row>
    <row r="84" spans="2:8" x14ac:dyDescent="0.25">
      <c r="B84" s="13">
        <v>40096</v>
      </c>
      <c r="C84" s="12">
        <v>5</v>
      </c>
      <c r="D84" s="12" t="s">
        <v>11</v>
      </c>
      <c r="E84" s="12">
        <v>9</v>
      </c>
      <c r="F84" s="12">
        <f t="shared" si="2"/>
        <v>400</v>
      </c>
      <c r="G84" s="12">
        <v>3960.0000000000005</v>
      </c>
      <c r="H84">
        <f t="shared" si="3"/>
        <v>4</v>
      </c>
    </row>
    <row r="85" spans="2:8" x14ac:dyDescent="0.25">
      <c r="B85" s="13">
        <v>40096</v>
      </c>
      <c r="C85" s="12">
        <v>3</v>
      </c>
      <c r="D85" s="12" t="s">
        <v>9</v>
      </c>
      <c r="E85" s="12">
        <v>8</v>
      </c>
      <c r="F85" s="12">
        <f t="shared" si="2"/>
        <v>150</v>
      </c>
      <c r="G85" s="12">
        <v>1320</v>
      </c>
      <c r="H85">
        <f t="shared" si="3"/>
        <v>2</v>
      </c>
    </row>
    <row r="86" spans="2:8" x14ac:dyDescent="0.25">
      <c r="B86" s="13">
        <v>40097</v>
      </c>
      <c r="C86" s="12">
        <v>1</v>
      </c>
      <c r="D86" s="12" t="s">
        <v>7</v>
      </c>
      <c r="E86" s="12">
        <v>9</v>
      </c>
      <c r="F86" s="12">
        <f t="shared" si="2"/>
        <v>100</v>
      </c>
      <c r="G86" s="12">
        <v>990.00000000000011</v>
      </c>
      <c r="H86">
        <f t="shared" si="3"/>
        <v>1</v>
      </c>
    </row>
    <row r="87" spans="2:8" x14ac:dyDescent="0.25">
      <c r="B87" s="13">
        <v>40097</v>
      </c>
      <c r="C87" s="12">
        <v>5</v>
      </c>
      <c r="D87" s="12" t="s">
        <v>11</v>
      </c>
      <c r="E87" s="12">
        <v>6</v>
      </c>
      <c r="F87" s="12">
        <f t="shared" si="2"/>
        <v>400</v>
      </c>
      <c r="G87" s="12">
        <v>2640.0000000000005</v>
      </c>
      <c r="H87">
        <f t="shared" si="3"/>
        <v>4</v>
      </c>
    </row>
    <row r="88" spans="2:8" x14ac:dyDescent="0.25">
      <c r="B88" s="13">
        <v>40097</v>
      </c>
      <c r="C88" s="12">
        <v>1</v>
      </c>
      <c r="D88" s="12" t="s">
        <v>7</v>
      </c>
      <c r="E88" s="12">
        <v>1</v>
      </c>
      <c r="F88" s="12">
        <f t="shared" si="2"/>
        <v>100</v>
      </c>
      <c r="G88" s="12">
        <v>110.00000000000001</v>
      </c>
      <c r="H88">
        <f t="shared" si="3"/>
        <v>1</v>
      </c>
    </row>
    <row r="89" spans="2:8" x14ac:dyDescent="0.25">
      <c r="B89" s="13">
        <v>40097</v>
      </c>
      <c r="C89" s="12">
        <v>3</v>
      </c>
      <c r="D89" s="12" t="s">
        <v>9</v>
      </c>
      <c r="E89" s="12">
        <v>10</v>
      </c>
      <c r="F89" s="12">
        <f t="shared" si="2"/>
        <v>150</v>
      </c>
      <c r="G89" s="12">
        <v>1650</v>
      </c>
      <c r="H89">
        <f t="shared" si="3"/>
        <v>2</v>
      </c>
    </row>
    <row r="90" spans="2:8" x14ac:dyDescent="0.25">
      <c r="B90" s="13">
        <v>40097</v>
      </c>
      <c r="C90" s="12">
        <v>1</v>
      </c>
      <c r="D90" s="12" t="s">
        <v>7</v>
      </c>
      <c r="E90" s="12">
        <v>8</v>
      </c>
      <c r="F90" s="12">
        <f t="shared" si="2"/>
        <v>100</v>
      </c>
      <c r="G90" s="12">
        <v>880.00000000000011</v>
      </c>
      <c r="H90">
        <f t="shared" si="3"/>
        <v>1</v>
      </c>
    </row>
    <row r="91" spans="2:8" x14ac:dyDescent="0.25">
      <c r="B91" s="13">
        <v>40097</v>
      </c>
      <c r="C91" s="12">
        <v>5</v>
      </c>
      <c r="D91" s="12" t="s">
        <v>11</v>
      </c>
      <c r="E91" s="12">
        <v>8</v>
      </c>
      <c r="F91" s="12">
        <f t="shared" si="2"/>
        <v>400</v>
      </c>
      <c r="G91" s="12">
        <v>3520.0000000000005</v>
      </c>
      <c r="H91">
        <f t="shared" si="3"/>
        <v>4</v>
      </c>
    </row>
    <row r="92" spans="2:8" x14ac:dyDescent="0.25">
      <c r="B92" s="13">
        <v>40097</v>
      </c>
      <c r="C92" s="12">
        <v>5</v>
      </c>
      <c r="D92" s="12" t="s">
        <v>11</v>
      </c>
      <c r="E92" s="12">
        <v>10</v>
      </c>
      <c r="F92" s="12">
        <f t="shared" si="2"/>
        <v>400</v>
      </c>
      <c r="G92" s="12">
        <v>4400.0000000000009</v>
      </c>
      <c r="H92">
        <f t="shared" si="3"/>
        <v>4</v>
      </c>
    </row>
    <row r="93" spans="2:8" x14ac:dyDescent="0.25">
      <c r="B93" s="13">
        <v>40097</v>
      </c>
      <c r="C93" s="12">
        <v>1</v>
      </c>
      <c r="D93" s="12" t="s">
        <v>7</v>
      </c>
      <c r="E93" s="12">
        <v>3</v>
      </c>
      <c r="F93" s="12">
        <f t="shared" si="2"/>
        <v>100</v>
      </c>
      <c r="G93" s="12">
        <v>330.00000000000006</v>
      </c>
      <c r="H93">
        <f t="shared" si="3"/>
        <v>1</v>
      </c>
    </row>
    <row r="94" spans="2:8" x14ac:dyDescent="0.25">
      <c r="B94" s="13">
        <v>40097</v>
      </c>
      <c r="C94" s="12">
        <v>5</v>
      </c>
      <c r="D94" s="12" t="s">
        <v>11</v>
      </c>
      <c r="E94" s="12">
        <v>6</v>
      </c>
      <c r="F94" s="12">
        <f t="shared" si="2"/>
        <v>400</v>
      </c>
      <c r="G94" s="12">
        <v>2640.0000000000005</v>
      </c>
      <c r="H94">
        <f t="shared" si="3"/>
        <v>4</v>
      </c>
    </row>
    <row r="95" spans="2:8" x14ac:dyDescent="0.25">
      <c r="B95" s="13">
        <v>40097</v>
      </c>
      <c r="C95" s="12">
        <v>2</v>
      </c>
      <c r="D95" s="12" t="s">
        <v>8</v>
      </c>
      <c r="E95" s="12">
        <v>3</v>
      </c>
      <c r="F95" s="12">
        <f t="shared" si="2"/>
        <v>200</v>
      </c>
      <c r="G95" s="12">
        <v>720</v>
      </c>
      <c r="H95">
        <f t="shared" si="3"/>
        <v>1</v>
      </c>
    </row>
    <row r="96" spans="2:8" x14ac:dyDescent="0.25">
      <c r="B96" s="13">
        <v>40097</v>
      </c>
      <c r="C96" s="12">
        <v>1</v>
      </c>
      <c r="D96" s="12" t="s">
        <v>7</v>
      </c>
      <c r="E96" s="12">
        <v>3</v>
      </c>
      <c r="F96" s="12">
        <f t="shared" si="2"/>
        <v>100</v>
      </c>
      <c r="G96" s="12">
        <v>330.00000000000006</v>
      </c>
      <c r="H96">
        <f t="shared" si="3"/>
        <v>1</v>
      </c>
    </row>
    <row r="97" spans="2:8" x14ac:dyDescent="0.25">
      <c r="B97" s="13">
        <v>40097</v>
      </c>
      <c r="C97" s="12">
        <v>3</v>
      </c>
      <c r="D97" s="12" t="s">
        <v>9</v>
      </c>
      <c r="E97" s="12">
        <v>8</v>
      </c>
      <c r="F97" s="12">
        <f t="shared" si="2"/>
        <v>150</v>
      </c>
      <c r="G97" s="12">
        <v>1320</v>
      </c>
      <c r="H97">
        <f t="shared" si="3"/>
        <v>2</v>
      </c>
    </row>
    <row r="98" spans="2:8" x14ac:dyDescent="0.25">
      <c r="B98" s="13">
        <v>40097</v>
      </c>
      <c r="C98" s="12">
        <v>5</v>
      </c>
      <c r="D98" s="12" t="s">
        <v>11</v>
      </c>
      <c r="E98" s="12">
        <v>5</v>
      </c>
      <c r="F98" s="12">
        <f t="shared" si="2"/>
        <v>400</v>
      </c>
      <c r="G98" s="12">
        <v>2200.0000000000005</v>
      </c>
      <c r="H98">
        <f t="shared" si="3"/>
        <v>4</v>
      </c>
    </row>
    <row r="99" spans="2:8" x14ac:dyDescent="0.25">
      <c r="B99" s="13">
        <v>40097</v>
      </c>
      <c r="C99" s="12">
        <v>4</v>
      </c>
      <c r="D99" s="12" t="s">
        <v>10</v>
      </c>
      <c r="E99" s="12">
        <v>8</v>
      </c>
      <c r="F99" s="12">
        <f t="shared" si="2"/>
        <v>300</v>
      </c>
      <c r="G99" s="12">
        <v>2640</v>
      </c>
      <c r="H99">
        <f t="shared" si="3"/>
        <v>3</v>
      </c>
    </row>
    <row r="100" spans="2:8" x14ac:dyDescent="0.25">
      <c r="B100" s="13">
        <v>40097</v>
      </c>
      <c r="C100" s="12">
        <v>2</v>
      </c>
      <c r="D100" s="12" t="s">
        <v>8</v>
      </c>
      <c r="E100" s="12">
        <v>3</v>
      </c>
      <c r="F100" s="12">
        <f t="shared" si="2"/>
        <v>200</v>
      </c>
      <c r="G100" s="12">
        <v>720</v>
      </c>
      <c r="H100">
        <f t="shared" si="3"/>
        <v>1</v>
      </c>
    </row>
    <row r="101" spans="2:8" x14ac:dyDescent="0.25">
      <c r="B101" s="13">
        <v>40097</v>
      </c>
      <c r="C101" s="12">
        <v>4</v>
      </c>
      <c r="D101" s="12" t="s">
        <v>10</v>
      </c>
      <c r="E101" s="12">
        <v>2</v>
      </c>
      <c r="F101" s="12">
        <f t="shared" si="2"/>
        <v>300</v>
      </c>
      <c r="G101" s="12">
        <v>660</v>
      </c>
      <c r="H101">
        <f t="shared" si="3"/>
        <v>3</v>
      </c>
    </row>
    <row r="102" spans="2:8" x14ac:dyDescent="0.25">
      <c r="B102" s="13">
        <v>40098</v>
      </c>
      <c r="C102" s="12">
        <v>4</v>
      </c>
      <c r="D102" s="12" t="s">
        <v>10</v>
      </c>
      <c r="E102" s="12">
        <v>1</v>
      </c>
      <c r="F102" s="12">
        <f t="shared" si="2"/>
        <v>300</v>
      </c>
      <c r="G102" s="12">
        <v>330</v>
      </c>
      <c r="H102">
        <f t="shared" si="3"/>
        <v>3</v>
      </c>
    </row>
    <row r="103" spans="2:8" x14ac:dyDescent="0.25">
      <c r="B103" s="13">
        <v>40098</v>
      </c>
      <c r="C103" s="12">
        <v>2</v>
      </c>
      <c r="D103" s="12" t="s">
        <v>8</v>
      </c>
      <c r="E103" s="12">
        <v>9</v>
      </c>
      <c r="F103" s="12">
        <f t="shared" si="2"/>
        <v>200</v>
      </c>
      <c r="G103" s="12">
        <v>2160</v>
      </c>
      <c r="H103">
        <f t="shared" si="3"/>
        <v>1</v>
      </c>
    </row>
    <row r="104" spans="2:8" x14ac:dyDescent="0.25">
      <c r="B104" s="13">
        <v>40098</v>
      </c>
      <c r="C104" s="12">
        <v>1</v>
      </c>
      <c r="D104" s="12" t="s">
        <v>7</v>
      </c>
      <c r="E104" s="12">
        <v>3</v>
      </c>
      <c r="F104" s="12">
        <f t="shared" si="2"/>
        <v>100</v>
      </c>
      <c r="G104" s="12">
        <v>330.00000000000006</v>
      </c>
      <c r="H104">
        <f t="shared" si="3"/>
        <v>1</v>
      </c>
    </row>
    <row r="105" spans="2:8" x14ac:dyDescent="0.25">
      <c r="B105" s="13">
        <v>40098</v>
      </c>
      <c r="C105" s="12">
        <v>5</v>
      </c>
      <c r="D105" s="12" t="s">
        <v>11</v>
      </c>
      <c r="E105" s="12">
        <v>5</v>
      </c>
      <c r="F105" s="12">
        <f t="shared" si="2"/>
        <v>400</v>
      </c>
      <c r="G105" s="12">
        <v>2200.0000000000005</v>
      </c>
      <c r="H105">
        <f t="shared" si="3"/>
        <v>4</v>
      </c>
    </row>
    <row r="106" spans="2:8" x14ac:dyDescent="0.25">
      <c r="B106" s="13">
        <v>40098</v>
      </c>
      <c r="C106" s="12">
        <v>1</v>
      </c>
      <c r="D106" s="12" t="s">
        <v>7</v>
      </c>
      <c r="E106" s="12">
        <v>1</v>
      </c>
      <c r="F106" s="12">
        <f t="shared" si="2"/>
        <v>100</v>
      </c>
      <c r="G106" s="12">
        <v>110.00000000000001</v>
      </c>
      <c r="H106">
        <f t="shared" si="3"/>
        <v>1</v>
      </c>
    </row>
    <row r="107" spans="2:8" x14ac:dyDescent="0.25">
      <c r="B107" s="13">
        <v>40098</v>
      </c>
      <c r="C107" s="12">
        <v>5</v>
      </c>
      <c r="D107" s="12" t="s">
        <v>11</v>
      </c>
      <c r="E107" s="12">
        <v>4</v>
      </c>
      <c r="F107" s="12">
        <f t="shared" si="2"/>
        <v>400</v>
      </c>
      <c r="G107" s="12">
        <v>1760.0000000000002</v>
      </c>
      <c r="H107">
        <f t="shared" si="3"/>
        <v>4</v>
      </c>
    </row>
    <row r="108" spans="2:8" x14ac:dyDescent="0.25">
      <c r="B108" s="13">
        <v>40098</v>
      </c>
      <c r="C108" s="12">
        <v>3</v>
      </c>
      <c r="D108" s="12" t="s">
        <v>9</v>
      </c>
      <c r="E108" s="12">
        <v>3</v>
      </c>
      <c r="F108" s="12">
        <f t="shared" si="2"/>
        <v>150</v>
      </c>
      <c r="G108" s="12">
        <v>495</v>
      </c>
      <c r="H108">
        <f t="shared" si="3"/>
        <v>2</v>
      </c>
    </row>
    <row r="109" spans="2:8" x14ac:dyDescent="0.25">
      <c r="B109" s="13">
        <v>40098</v>
      </c>
      <c r="C109" s="12">
        <v>5</v>
      </c>
      <c r="D109" s="12" t="s">
        <v>11</v>
      </c>
      <c r="E109" s="12">
        <v>3</v>
      </c>
      <c r="F109" s="12">
        <f t="shared" si="2"/>
        <v>400</v>
      </c>
      <c r="G109" s="12">
        <v>1320.0000000000002</v>
      </c>
      <c r="H109">
        <f t="shared" si="3"/>
        <v>4</v>
      </c>
    </row>
    <row r="110" spans="2:8" x14ac:dyDescent="0.25">
      <c r="B110" s="13">
        <v>40098</v>
      </c>
      <c r="C110" s="12">
        <v>3</v>
      </c>
      <c r="D110" s="12" t="s">
        <v>9</v>
      </c>
      <c r="E110" s="12">
        <v>1</v>
      </c>
      <c r="F110" s="12">
        <f t="shared" si="2"/>
        <v>150</v>
      </c>
      <c r="G110" s="12">
        <v>165</v>
      </c>
      <c r="H110">
        <f t="shared" si="3"/>
        <v>2</v>
      </c>
    </row>
    <row r="111" spans="2:8" x14ac:dyDescent="0.25">
      <c r="B111" s="13">
        <v>40099</v>
      </c>
      <c r="C111" s="12">
        <v>5</v>
      </c>
      <c r="D111" s="12" t="s">
        <v>11</v>
      </c>
      <c r="E111" s="12">
        <v>6</v>
      </c>
      <c r="F111" s="12">
        <f t="shared" si="2"/>
        <v>400</v>
      </c>
      <c r="G111" s="12">
        <v>2640.0000000000005</v>
      </c>
      <c r="H111">
        <f t="shared" si="3"/>
        <v>4</v>
      </c>
    </row>
    <row r="112" spans="2:8" x14ac:dyDescent="0.25">
      <c r="B112" s="13">
        <v>40099</v>
      </c>
      <c r="C112" s="12">
        <v>1</v>
      </c>
      <c r="D112" s="12" t="s">
        <v>7</v>
      </c>
      <c r="E112" s="12">
        <v>8</v>
      </c>
      <c r="F112" s="12">
        <f t="shared" si="2"/>
        <v>100</v>
      </c>
      <c r="G112" s="12">
        <v>880.00000000000011</v>
      </c>
      <c r="H112">
        <f t="shared" si="3"/>
        <v>1</v>
      </c>
    </row>
    <row r="113" spans="2:8" x14ac:dyDescent="0.25">
      <c r="B113" s="13">
        <v>40099</v>
      </c>
      <c r="C113" s="12">
        <v>2</v>
      </c>
      <c r="D113" s="12" t="s">
        <v>8</v>
      </c>
      <c r="E113" s="12">
        <v>1</v>
      </c>
      <c r="F113" s="12">
        <f t="shared" si="2"/>
        <v>200</v>
      </c>
      <c r="G113" s="12">
        <v>240</v>
      </c>
      <c r="H113">
        <f t="shared" si="3"/>
        <v>1</v>
      </c>
    </row>
    <row r="114" spans="2:8" x14ac:dyDescent="0.25">
      <c r="B114" s="13">
        <v>40099</v>
      </c>
      <c r="C114" s="12">
        <v>6</v>
      </c>
      <c r="D114" s="12" t="s">
        <v>12</v>
      </c>
      <c r="E114" s="12">
        <v>2</v>
      </c>
      <c r="F114" s="12">
        <f t="shared" si="2"/>
        <v>500</v>
      </c>
      <c r="G114" s="12">
        <v>1200</v>
      </c>
      <c r="H114">
        <f t="shared" si="3"/>
        <v>4</v>
      </c>
    </row>
    <row r="115" spans="2:8" x14ac:dyDescent="0.25">
      <c r="B115" s="13">
        <v>40099</v>
      </c>
      <c r="C115" s="12">
        <v>5</v>
      </c>
      <c r="D115" s="12" t="s">
        <v>11</v>
      </c>
      <c r="E115" s="12">
        <v>2</v>
      </c>
      <c r="F115" s="12">
        <f t="shared" si="2"/>
        <v>400</v>
      </c>
      <c r="G115" s="12">
        <v>880.00000000000011</v>
      </c>
      <c r="H115">
        <f t="shared" si="3"/>
        <v>4</v>
      </c>
    </row>
    <row r="116" spans="2:8" x14ac:dyDescent="0.25">
      <c r="B116" s="13">
        <v>40099</v>
      </c>
      <c r="C116" s="12">
        <v>4</v>
      </c>
      <c r="D116" s="12" t="s">
        <v>10</v>
      </c>
      <c r="E116" s="12">
        <v>10</v>
      </c>
      <c r="F116" s="12">
        <f t="shared" si="2"/>
        <v>300</v>
      </c>
      <c r="G116" s="12">
        <v>3300</v>
      </c>
      <c r="H116">
        <f t="shared" si="3"/>
        <v>3</v>
      </c>
    </row>
    <row r="117" spans="2:8" x14ac:dyDescent="0.25">
      <c r="B117" s="13">
        <v>40099</v>
      </c>
      <c r="C117" s="12">
        <v>3</v>
      </c>
      <c r="D117" s="12" t="s">
        <v>9</v>
      </c>
      <c r="E117" s="12">
        <v>1</v>
      </c>
      <c r="F117" s="12">
        <f t="shared" si="2"/>
        <v>150</v>
      </c>
      <c r="G117" s="12">
        <v>165</v>
      </c>
      <c r="H117">
        <f t="shared" si="3"/>
        <v>2</v>
      </c>
    </row>
    <row r="118" spans="2:8" x14ac:dyDescent="0.25">
      <c r="B118" s="13">
        <v>40100</v>
      </c>
      <c r="C118" s="12">
        <v>3</v>
      </c>
      <c r="D118" s="12" t="s">
        <v>9</v>
      </c>
      <c r="E118" s="12">
        <v>1</v>
      </c>
      <c r="F118" s="12">
        <f t="shared" si="2"/>
        <v>150</v>
      </c>
      <c r="G118" s="12">
        <v>165</v>
      </c>
      <c r="H118">
        <f t="shared" si="3"/>
        <v>2</v>
      </c>
    </row>
    <row r="119" spans="2:8" x14ac:dyDescent="0.25">
      <c r="B119" s="13">
        <v>40100</v>
      </c>
      <c r="C119" s="12">
        <v>4</v>
      </c>
      <c r="D119" s="12" t="s">
        <v>10</v>
      </c>
      <c r="E119" s="12">
        <v>10</v>
      </c>
      <c r="F119" s="12">
        <f t="shared" si="2"/>
        <v>300</v>
      </c>
      <c r="G119" s="12">
        <v>3300</v>
      </c>
      <c r="H119">
        <f t="shared" si="3"/>
        <v>3</v>
      </c>
    </row>
    <row r="120" spans="2:8" x14ac:dyDescent="0.25">
      <c r="B120" s="13">
        <v>40100</v>
      </c>
      <c r="C120" s="12">
        <v>4</v>
      </c>
      <c r="D120" s="12" t="s">
        <v>10</v>
      </c>
      <c r="E120" s="12">
        <v>7</v>
      </c>
      <c r="F120" s="12">
        <f t="shared" si="2"/>
        <v>300</v>
      </c>
      <c r="G120" s="12">
        <v>2310</v>
      </c>
      <c r="H120">
        <f t="shared" si="3"/>
        <v>3</v>
      </c>
    </row>
    <row r="121" spans="2:8" x14ac:dyDescent="0.25">
      <c r="B121" s="13">
        <v>40100</v>
      </c>
      <c r="C121" s="12">
        <v>5</v>
      </c>
      <c r="D121" s="12" t="s">
        <v>11</v>
      </c>
      <c r="E121" s="12">
        <v>1</v>
      </c>
      <c r="F121" s="12">
        <f t="shared" si="2"/>
        <v>400</v>
      </c>
      <c r="G121" s="12">
        <v>440.00000000000006</v>
      </c>
      <c r="H121">
        <f t="shared" si="3"/>
        <v>4</v>
      </c>
    </row>
    <row r="122" spans="2:8" x14ac:dyDescent="0.25">
      <c r="B122" s="13">
        <v>40100</v>
      </c>
      <c r="C122" s="12">
        <v>4</v>
      </c>
      <c r="D122" s="12" t="s">
        <v>10</v>
      </c>
      <c r="E122" s="12">
        <v>5</v>
      </c>
      <c r="F122" s="12">
        <f t="shared" si="2"/>
        <v>300</v>
      </c>
      <c r="G122" s="12">
        <v>1650</v>
      </c>
      <c r="H122">
        <f t="shared" si="3"/>
        <v>3</v>
      </c>
    </row>
    <row r="123" spans="2:8" x14ac:dyDescent="0.25">
      <c r="B123" s="13">
        <v>40100</v>
      </c>
      <c r="C123" s="12">
        <v>4</v>
      </c>
      <c r="D123" s="12" t="s">
        <v>10</v>
      </c>
      <c r="E123" s="12">
        <v>1</v>
      </c>
      <c r="F123" s="12">
        <f t="shared" si="2"/>
        <v>300</v>
      </c>
      <c r="G123" s="12">
        <v>330</v>
      </c>
      <c r="H123">
        <f t="shared" si="3"/>
        <v>3</v>
      </c>
    </row>
    <row r="124" spans="2:8" x14ac:dyDescent="0.25">
      <c r="B124" s="13">
        <v>40100</v>
      </c>
      <c r="C124" s="12">
        <v>4</v>
      </c>
      <c r="D124" s="12" t="s">
        <v>10</v>
      </c>
      <c r="E124" s="12">
        <v>8</v>
      </c>
      <c r="F124" s="12">
        <f t="shared" si="2"/>
        <v>300</v>
      </c>
      <c r="G124" s="12">
        <v>2640</v>
      </c>
      <c r="H124">
        <f t="shared" si="3"/>
        <v>3</v>
      </c>
    </row>
    <row r="125" spans="2:8" x14ac:dyDescent="0.25">
      <c r="B125" s="13">
        <v>40100</v>
      </c>
      <c r="C125" s="12">
        <v>2</v>
      </c>
      <c r="D125" s="12" t="s">
        <v>8</v>
      </c>
      <c r="E125" s="12">
        <v>2</v>
      </c>
      <c r="F125" s="12">
        <f t="shared" si="2"/>
        <v>200</v>
      </c>
      <c r="G125" s="12">
        <v>480</v>
      </c>
      <c r="H125">
        <f t="shared" si="3"/>
        <v>1</v>
      </c>
    </row>
    <row r="126" spans="2:8" x14ac:dyDescent="0.25">
      <c r="B126" s="13">
        <v>40100</v>
      </c>
      <c r="C126" s="12">
        <v>2</v>
      </c>
      <c r="D126" s="12" t="s">
        <v>8</v>
      </c>
      <c r="E126" s="12">
        <v>9</v>
      </c>
      <c r="F126" s="12">
        <f t="shared" si="2"/>
        <v>200</v>
      </c>
      <c r="G126" s="12">
        <v>2160</v>
      </c>
      <c r="H126">
        <f t="shared" si="3"/>
        <v>1</v>
      </c>
    </row>
    <row r="127" spans="2:8" x14ac:dyDescent="0.25">
      <c r="B127" s="13">
        <v>40100</v>
      </c>
      <c r="C127" s="12">
        <v>6</v>
      </c>
      <c r="D127" s="12" t="s">
        <v>12</v>
      </c>
      <c r="E127" s="12">
        <v>7</v>
      </c>
      <c r="F127" s="12">
        <f t="shared" si="2"/>
        <v>500</v>
      </c>
      <c r="G127" s="12">
        <v>4200</v>
      </c>
      <c r="H127">
        <f t="shared" si="3"/>
        <v>4</v>
      </c>
    </row>
    <row r="128" spans="2:8" x14ac:dyDescent="0.25">
      <c r="B128" s="13">
        <v>40100</v>
      </c>
      <c r="C128" s="12">
        <v>2</v>
      </c>
      <c r="D128" s="12" t="s">
        <v>8</v>
      </c>
      <c r="E128" s="12">
        <v>10</v>
      </c>
      <c r="F128" s="12">
        <f t="shared" si="2"/>
        <v>200</v>
      </c>
      <c r="G128" s="12">
        <v>2400</v>
      </c>
      <c r="H128">
        <f t="shared" si="3"/>
        <v>1</v>
      </c>
    </row>
    <row r="129" spans="2:8" x14ac:dyDescent="0.25">
      <c r="B129" s="13">
        <v>40100</v>
      </c>
      <c r="C129" s="12">
        <v>3</v>
      </c>
      <c r="D129" s="12" t="s">
        <v>9</v>
      </c>
      <c r="E129" s="12">
        <v>9</v>
      </c>
      <c r="F129" s="12">
        <f t="shared" si="2"/>
        <v>150</v>
      </c>
      <c r="G129" s="12">
        <v>1485</v>
      </c>
      <c r="H129">
        <f t="shared" si="3"/>
        <v>2</v>
      </c>
    </row>
    <row r="130" spans="2:8" x14ac:dyDescent="0.25">
      <c r="B130" s="13">
        <v>40100</v>
      </c>
      <c r="C130" s="12">
        <v>5</v>
      </c>
      <c r="D130" s="12" t="s">
        <v>11</v>
      </c>
      <c r="E130" s="12">
        <v>9</v>
      </c>
      <c r="F130" s="12">
        <f t="shared" si="2"/>
        <v>400</v>
      </c>
      <c r="G130" s="12">
        <v>3960.0000000000005</v>
      </c>
      <c r="H130">
        <f t="shared" si="3"/>
        <v>4</v>
      </c>
    </row>
    <row r="131" spans="2:8" x14ac:dyDescent="0.25">
      <c r="B131" s="13">
        <v>40100</v>
      </c>
      <c r="C131" s="12">
        <v>2</v>
      </c>
      <c r="D131" s="12" t="s">
        <v>8</v>
      </c>
      <c r="E131" s="12">
        <v>7</v>
      </c>
      <c r="F131" s="12">
        <f t="shared" ref="F131:F194" si="4" xml:space="preserve"> VLOOKUP(C131, Справочник_товары,4)</f>
        <v>200</v>
      </c>
      <c r="G131" s="12">
        <v>1680</v>
      </c>
      <c r="H131">
        <f t="shared" ref="H131:H194" si="5" xml:space="preserve"> VLOOKUP(C131, Справочник_товары,6)</f>
        <v>1</v>
      </c>
    </row>
    <row r="132" spans="2:8" x14ac:dyDescent="0.25">
      <c r="B132" s="13">
        <v>40100</v>
      </c>
      <c r="C132" s="12">
        <v>6</v>
      </c>
      <c r="D132" s="12" t="s">
        <v>12</v>
      </c>
      <c r="E132" s="12">
        <v>2</v>
      </c>
      <c r="F132" s="12">
        <f t="shared" si="4"/>
        <v>500</v>
      </c>
      <c r="G132" s="12">
        <v>1200</v>
      </c>
      <c r="H132">
        <f t="shared" si="5"/>
        <v>4</v>
      </c>
    </row>
    <row r="133" spans="2:8" x14ac:dyDescent="0.25">
      <c r="B133" s="13">
        <v>40100</v>
      </c>
      <c r="C133" s="12">
        <v>5</v>
      </c>
      <c r="D133" s="12" t="s">
        <v>11</v>
      </c>
      <c r="E133" s="12">
        <v>8</v>
      </c>
      <c r="F133" s="12">
        <f t="shared" si="4"/>
        <v>400</v>
      </c>
      <c r="G133" s="12">
        <v>3520.0000000000005</v>
      </c>
      <c r="H133">
        <f t="shared" si="5"/>
        <v>4</v>
      </c>
    </row>
    <row r="134" spans="2:8" x14ac:dyDescent="0.25">
      <c r="B134" s="13">
        <v>40101</v>
      </c>
      <c r="C134" s="12">
        <v>1</v>
      </c>
      <c r="D134" s="12" t="s">
        <v>7</v>
      </c>
      <c r="E134" s="12">
        <v>10</v>
      </c>
      <c r="F134" s="12">
        <f t="shared" si="4"/>
        <v>100</v>
      </c>
      <c r="G134" s="12">
        <v>1100.0000000000002</v>
      </c>
      <c r="H134">
        <f t="shared" si="5"/>
        <v>1</v>
      </c>
    </row>
    <row r="135" spans="2:8" x14ac:dyDescent="0.25">
      <c r="B135" s="13">
        <v>40101</v>
      </c>
      <c r="C135" s="12">
        <v>3</v>
      </c>
      <c r="D135" s="12" t="s">
        <v>9</v>
      </c>
      <c r="E135" s="12">
        <v>8</v>
      </c>
      <c r="F135" s="12">
        <f t="shared" si="4"/>
        <v>150</v>
      </c>
      <c r="G135" s="12">
        <v>1320</v>
      </c>
      <c r="H135">
        <f t="shared" si="5"/>
        <v>2</v>
      </c>
    </row>
    <row r="136" spans="2:8" x14ac:dyDescent="0.25">
      <c r="B136" s="13">
        <v>40101</v>
      </c>
      <c r="C136" s="12">
        <v>6</v>
      </c>
      <c r="D136" s="12" t="s">
        <v>12</v>
      </c>
      <c r="E136" s="12">
        <v>4</v>
      </c>
      <c r="F136" s="12">
        <f t="shared" si="4"/>
        <v>500</v>
      </c>
      <c r="G136" s="12">
        <v>2400</v>
      </c>
      <c r="H136">
        <f t="shared" si="5"/>
        <v>4</v>
      </c>
    </row>
    <row r="137" spans="2:8" x14ac:dyDescent="0.25">
      <c r="B137" s="13">
        <v>40101</v>
      </c>
      <c r="C137" s="12">
        <v>1</v>
      </c>
      <c r="D137" s="12" t="s">
        <v>7</v>
      </c>
      <c r="E137" s="12">
        <v>3</v>
      </c>
      <c r="F137" s="12">
        <f t="shared" si="4"/>
        <v>100</v>
      </c>
      <c r="G137" s="12">
        <v>330.00000000000006</v>
      </c>
      <c r="H137">
        <f t="shared" si="5"/>
        <v>1</v>
      </c>
    </row>
    <row r="138" spans="2:8" x14ac:dyDescent="0.25">
      <c r="B138" s="13">
        <v>40101</v>
      </c>
      <c r="C138" s="12">
        <v>2</v>
      </c>
      <c r="D138" s="12" t="s">
        <v>8</v>
      </c>
      <c r="E138" s="12">
        <v>8</v>
      </c>
      <c r="F138" s="12">
        <f t="shared" si="4"/>
        <v>200</v>
      </c>
      <c r="G138" s="12">
        <v>1920</v>
      </c>
      <c r="H138">
        <f t="shared" si="5"/>
        <v>1</v>
      </c>
    </row>
    <row r="139" spans="2:8" x14ac:dyDescent="0.25">
      <c r="B139" s="13">
        <v>40101</v>
      </c>
      <c r="C139" s="12">
        <v>6</v>
      </c>
      <c r="D139" s="12" t="s">
        <v>12</v>
      </c>
      <c r="E139" s="12">
        <v>10</v>
      </c>
      <c r="F139" s="12">
        <f t="shared" si="4"/>
        <v>500</v>
      </c>
      <c r="G139" s="12">
        <v>6000</v>
      </c>
      <c r="H139">
        <f t="shared" si="5"/>
        <v>4</v>
      </c>
    </row>
    <row r="140" spans="2:8" x14ac:dyDescent="0.25">
      <c r="B140" s="13">
        <v>40101</v>
      </c>
      <c r="C140" s="12">
        <v>5</v>
      </c>
      <c r="D140" s="12" t="s">
        <v>11</v>
      </c>
      <c r="E140" s="12">
        <v>5</v>
      </c>
      <c r="F140" s="12">
        <f t="shared" si="4"/>
        <v>400</v>
      </c>
      <c r="G140" s="12">
        <v>2200.0000000000005</v>
      </c>
      <c r="H140">
        <f t="shared" si="5"/>
        <v>4</v>
      </c>
    </row>
    <row r="141" spans="2:8" x14ac:dyDescent="0.25">
      <c r="B141" s="13">
        <v>40101</v>
      </c>
      <c r="C141" s="12">
        <v>1</v>
      </c>
      <c r="D141" s="12" t="s">
        <v>7</v>
      </c>
      <c r="E141" s="12">
        <v>2</v>
      </c>
      <c r="F141" s="12">
        <f t="shared" si="4"/>
        <v>100</v>
      </c>
      <c r="G141" s="12">
        <v>220.00000000000003</v>
      </c>
      <c r="H141">
        <f t="shared" si="5"/>
        <v>1</v>
      </c>
    </row>
    <row r="142" spans="2:8" x14ac:dyDescent="0.25">
      <c r="B142" s="13">
        <v>40102</v>
      </c>
      <c r="C142" s="12">
        <v>6</v>
      </c>
      <c r="D142" s="12" t="s">
        <v>12</v>
      </c>
      <c r="E142" s="12">
        <v>4</v>
      </c>
      <c r="F142" s="12">
        <f t="shared" si="4"/>
        <v>500</v>
      </c>
      <c r="G142" s="12">
        <v>2400</v>
      </c>
      <c r="H142">
        <f t="shared" si="5"/>
        <v>4</v>
      </c>
    </row>
    <row r="143" spans="2:8" x14ac:dyDescent="0.25">
      <c r="B143" s="13">
        <v>40102</v>
      </c>
      <c r="C143" s="12">
        <v>5</v>
      </c>
      <c r="D143" s="12" t="s">
        <v>11</v>
      </c>
      <c r="E143" s="12">
        <v>4</v>
      </c>
      <c r="F143" s="12">
        <f t="shared" si="4"/>
        <v>400</v>
      </c>
      <c r="G143" s="12">
        <v>1760.0000000000002</v>
      </c>
      <c r="H143">
        <f t="shared" si="5"/>
        <v>4</v>
      </c>
    </row>
    <row r="144" spans="2:8" x14ac:dyDescent="0.25">
      <c r="B144" s="13">
        <v>40102</v>
      </c>
      <c r="C144" s="12">
        <v>4</v>
      </c>
      <c r="D144" s="12" t="s">
        <v>10</v>
      </c>
      <c r="E144" s="12">
        <v>5</v>
      </c>
      <c r="F144" s="12">
        <f t="shared" si="4"/>
        <v>300</v>
      </c>
      <c r="G144" s="12">
        <v>1650</v>
      </c>
      <c r="H144">
        <f t="shared" si="5"/>
        <v>3</v>
      </c>
    </row>
    <row r="145" spans="2:8" x14ac:dyDescent="0.25">
      <c r="B145" s="13">
        <v>40102</v>
      </c>
      <c r="C145" s="12">
        <v>5</v>
      </c>
      <c r="D145" s="12" t="s">
        <v>11</v>
      </c>
      <c r="E145" s="12">
        <v>2</v>
      </c>
      <c r="F145" s="12">
        <f t="shared" si="4"/>
        <v>400</v>
      </c>
      <c r="G145" s="12">
        <v>880.00000000000011</v>
      </c>
      <c r="H145">
        <f t="shared" si="5"/>
        <v>4</v>
      </c>
    </row>
    <row r="146" spans="2:8" x14ac:dyDescent="0.25">
      <c r="B146" s="13">
        <v>40102</v>
      </c>
      <c r="C146" s="12">
        <v>1</v>
      </c>
      <c r="D146" s="12" t="s">
        <v>7</v>
      </c>
      <c r="E146" s="12">
        <v>6</v>
      </c>
      <c r="F146" s="12">
        <f t="shared" si="4"/>
        <v>100</v>
      </c>
      <c r="G146" s="12">
        <v>660.00000000000011</v>
      </c>
      <c r="H146">
        <f t="shared" si="5"/>
        <v>1</v>
      </c>
    </row>
    <row r="147" spans="2:8" x14ac:dyDescent="0.25">
      <c r="B147" s="13">
        <v>40102</v>
      </c>
      <c r="C147" s="12">
        <v>2</v>
      </c>
      <c r="D147" s="12" t="s">
        <v>8</v>
      </c>
      <c r="E147" s="12">
        <v>8</v>
      </c>
      <c r="F147" s="12">
        <f t="shared" si="4"/>
        <v>200</v>
      </c>
      <c r="G147" s="12">
        <v>1920</v>
      </c>
      <c r="H147">
        <f t="shared" si="5"/>
        <v>1</v>
      </c>
    </row>
    <row r="148" spans="2:8" x14ac:dyDescent="0.25">
      <c r="B148" s="13">
        <v>40102</v>
      </c>
      <c r="C148" s="12">
        <v>4</v>
      </c>
      <c r="D148" s="12" t="s">
        <v>10</v>
      </c>
      <c r="E148" s="12">
        <v>6</v>
      </c>
      <c r="F148" s="12">
        <f t="shared" si="4"/>
        <v>300</v>
      </c>
      <c r="G148" s="12">
        <v>1980</v>
      </c>
      <c r="H148">
        <f t="shared" si="5"/>
        <v>3</v>
      </c>
    </row>
    <row r="149" spans="2:8" x14ac:dyDescent="0.25">
      <c r="B149" s="13">
        <v>40102</v>
      </c>
      <c r="C149" s="12">
        <v>6</v>
      </c>
      <c r="D149" s="12" t="s">
        <v>12</v>
      </c>
      <c r="E149" s="12">
        <v>3</v>
      </c>
      <c r="F149" s="12">
        <f t="shared" si="4"/>
        <v>500</v>
      </c>
      <c r="G149" s="12">
        <v>1800</v>
      </c>
      <c r="H149">
        <f t="shared" si="5"/>
        <v>4</v>
      </c>
    </row>
    <row r="150" spans="2:8" x14ac:dyDescent="0.25">
      <c r="B150" s="13">
        <v>40102</v>
      </c>
      <c r="C150" s="12">
        <v>5</v>
      </c>
      <c r="D150" s="12" t="s">
        <v>11</v>
      </c>
      <c r="E150" s="12">
        <v>5</v>
      </c>
      <c r="F150" s="12">
        <f t="shared" si="4"/>
        <v>400</v>
      </c>
      <c r="G150" s="12">
        <v>2200.0000000000005</v>
      </c>
      <c r="H150">
        <f t="shared" si="5"/>
        <v>4</v>
      </c>
    </row>
    <row r="151" spans="2:8" x14ac:dyDescent="0.25">
      <c r="B151" s="13">
        <v>40102</v>
      </c>
      <c r="C151" s="12">
        <v>1</v>
      </c>
      <c r="D151" s="12" t="s">
        <v>7</v>
      </c>
      <c r="E151" s="12">
        <v>1</v>
      </c>
      <c r="F151" s="12">
        <f t="shared" si="4"/>
        <v>100</v>
      </c>
      <c r="G151" s="12">
        <v>110.00000000000001</v>
      </c>
      <c r="H151">
        <f t="shared" si="5"/>
        <v>1</v>
      </c>
    </row>
    <row r="152" spans="2:8" x14ac:dyDescent="0.25">
      <c r="B152" s="13">
        <v>40103</v>
      </c>
      <c r="C152" s="12">
        <v>5</v>
      </c>
      <c r="D152" s="12" t="s">
        <v>11</v>
      </c>
      <c r="E152" s="12">
        <v>1</v>
      </c>
      <c r="F152" s="12">
        <f t="shared" si="4"/>
        <v>400</v>
      </c>
      <c r="G152" s="12">
        <v>440.00000000000006</v>
      </c>
      <c r="H152">
        <f t="shared" si="5"/>
        <v>4</v>
      </c>
    </row>
    <row r="153" spans="2:8" x14ac:dyDescent="0.25">
      <c r="B153" s="13">
        <v>40103</v>
      </c>
      <c r="C153" s="12">
        <v>1</v>
      </c>
      <c r="D153" s="12" t="s">
        <v>7</v>
      </c>
      <c r="E153" s="12">
        <v>6</v>
      </c>
      <c r="F153" s="12">
        <f t="shared" si="4"/>
        <v>100</v>
      </c>
      <c r="G153" s="12">
        <v>660.00000000000011</v>
      </c>
      <c r="H153">
        <f t="shared" si="5"/>
        <v>1</v>
      </c>
    </row>
    <row r="154" spans="2:8" x14ac:dyDescent="0.25">
      <c r="B154" s="13">
        <v>40103</v>
      </c>
      <c r="C154" s="12">
        <v>3</v>
      </c>
      <c r="D154" s="12" t="s">
        <v>9</v>
      </c>
      <c r="E154" s="12">
        <v>4</v>
      </c>
      <c r="F154" s="12">
        <f t="shared" si="4"/>
        <v>150</v>
      </c>
      <c r="G154" s="12">
        <v>660</v>
      </c>
      <c r="H154">
        <f t="shared" si="5"/>
        <v>2</v>
      </c>
    </row>
    <row r="155" spans="2:8" x14ac:dyDescent="0.25">
      <c r="B155" s="13">
        <v>40103</v>
      </c>
      <c r="C155" s="12">
        <v>2</v>
      </c>
      <c r="D155" s="12" t="s">
        <v>8</v>
      </c>
      <c r="E155" s="12">
        <v>6</v>
      </c>
      <c r="F155" s="12">
        <f t="shared" si="4"/>
        <v>200</v>
      </c>
      <c r="G155" s="12">
        <v>1440</v>
      </c>
      <c r="H155">
        <f t="shared" si="5"/>
        <v>1</v>
      </c>
    </row>
    <row r="156" spans="2:8" x14ac:dyDescent="0.25">
      <c r="B156" s="13">
        <v>40103</v>
      </c>
      <c r="C156" s="12">
        <v>4</v>
      </c>
      <c r="D156" s="12" t="s">
        <v>10</v>
      </c>
      <c r="E156" s="12">
        <v>3</v>
      </c>
      <c r="F156" s="12">
        <f t="shared" si="4"/>
        <v>300</v>
      </c>
      <c r="G156" s="12">
        <v>990</v>
      </c>
      <c r="H156">
        <f t="shared" si="5"/>
        <v>3</v>
      </c>
    </row>
    <row r="157" spans="2:8" x14ac:dyDescent="0.25">
      <c r="B157" s="13">
        <v>40103</v>
      </c>
      <c r="C157" s="12">
        <v>6</v>
      </c>
      <c r="D157" s="12" t="s">
        <v>12</v>
      </c>
      <c r="E157" s="12">
        <v>6</v>
      </c>
      <c r="F157" s="12">
        <f t="shared" si="4"/>
        <v>500</v>
      </c>
      <c r="G157" s="12">
        <v>3600</v>
      </c>
      <c r="H157">
        <f t="shared" si="5"/>
        <v>4</v>
      </c>
    </row>
    <row r="158" spans="2:8" x14ac:dyDescent="0.25">
      <c r="B158" s="13">
        <v>40103</v>
      </c>
      <c r="C158" s="12">
        <v>5</v>
      </c>
      <c r="D158" s="12" t="s">
        <v>11</v>
      </c>
      <c r="E158" s="12">
        <v>8</v>
      </c>
      <c r="F158" s="12">
        <f t="shared" si="4"/>
        <v>400</v>
      </c>
      <c r="G158" s="12">
        <v>3520.0000000000005</v>
      </c>
      <c r="H158">
        <f t="shared" si="5"/>
        <v>4</v>
      </c>
    </row>
    <row r="159" spans="2:8" x14ac:dyDescent="0.25">
      <c r="B159" s="13">
        <v>40103</v>
      </c>
      <c r="C159" s="12">
        <v>4</v>
      </c>
      <c r="D159" s="12" t="s">
        <v>10</v>
      </c>
      <c r="E159" s="12">
        <v>7</v>
      </c>
      <c r="F159" s="12">
        <f t="shared" si="4"/>
        <v>300</v>
      </c>
      <c r="G159" s="12">
        <v>2310</v>
      </c>
      <c r="H159">
        <f t="shared" si="5"/>
        <v>3</v>
      </c>
    </row>
    <row r="160" spans="2:8" x14ac:dyDescent="0.25">
      <c r="B160" s="13">
        <v>40104</v>
      </c>
      <c r="C160" s="12">
        <v>6</v>
      </c>
      <c r="D160" s="12" t="s">
        <v>12</v>
      </c>
      <c r="E160" s="12">
        <v>4</v>
      </c>
      <c r="F160" s="12">
        <f t="shared" si="4"/>
        <v>500</v>
      </c>
      <c r="G160" s="12">
        <v>2400</v>
      </c>
      <c r="H160">
        <f t="shared" si="5"/>
        <v>4</v>
      </c>
    </row>
    <row r="161" spans="2:8" x14ac:dyDescent="0.25">
      <c r="B161" s="13">
        <v>40104</v>
      </c>
      <c r="C161" s="12">
        <v>5</v>
      </c>
      <c r="D161" s="12" t="s">
        <v>11</v>
      </c>
      <c r="E161" s="12">
        <v>9</v>
      </c>
      <c r="F161" s="12">
        <f t="shared" si="4"/>
        <v>400</v>
      </c>
      <c r="G161" s="12">
        <v>3960.0000000000005</v>
      </c>
      <c r="H161">
        <f t="shared" si="5"/>
        <v>4</v>
      </c>
    </row>
    <row r="162" spans="2:8" x14ac:dyDescent="0.25">
      <c r="B162" s="13">
        <v>40104</v>
      </c>
      <c r="C162" s="12">
        <v>6</v>
      </c>
      <c r="D162" s="12" t="s">
        <v>12</v>
      </c>
      <c r="E162" s="12">
        <v>3</v>
      </c>
      <c r="F162" s="12">
        <f t="shared" si="4"/>
        <v>500</v>
      </c>
      <c r="G162" s="12">
        <v>1800</v>
      </c>
      <c r="H162">
        <f t="shared" si="5"/>
        <v>4</v>
      </c>
    </row>
    <row r="163" spans="2:8" x14ac:dyDescent="0.25">
      <c r="B163" s="13">
        <v>40104</v>
      </c>
      <c r="C163" s="12">
        <v>4</v>
      </c>
      <c r="D163" s="12" t="s">
        <v>10</v>
      </c>
      <c r="E163" s="12">
        <v>5</v>
      </c>
      <c r="F163" s="12">
        <f t="shared" si="4"/>
        <v>300</v>
      </c>
      <c r="G163" s="12">
        <v>1650</v>
      </c>
      <c r="H163">
        <f t="shared" si="5"/>
        <v>3</v>
      </c>
    </row>
    <row r="164" spans="2:8" x14ac:dyDescent="0.25">
      <c r="B164" s="13">
        <v>40104</v>
      </c>
      <c r="C164" s="12">
        <v>1</v>
      </c>
      <c r="D164" s="12" t="s">
        <v>7</v>
      </c>
      <c r="E164" s="12">
        <v>4</v>
      </c>
      <c r="F164" s="12">
        <f t="shared" si="4"/>
        <v>100</v>
      </c>
      <c r="G164" s="12">
        <v>440.00000000000006</v>
      </c>
      <c r="H164">
        <f t="shared" si="5"/>
        <v>1</v>
      </c>
    </row>
    <row r="165" spans="2:8" x14ac:dyDescent="0.25">
      <c r="B165" s="13">
        <v>40104</v>
      </c>
      <c r="C165" s="12">
        <v>2</v>
      </c>
      <c r="D165" s="12" t="s">
        <v>8</v>
      </c>
      <c r="E165" s="12">
        <v>1</v>
      </c>
      <c r="F165" s="12">
        <f t="shared" si="4"/>
        <v>200</v>
      </c>
      <c r="G165" s="12">
        <v>240</v>
      </c>
      <c r="H165">
        <f t="shared" si="5"/>
        <v>1</v>
      </c>
    </row>
    <row r="166" spans="2:8" x14ac:dyDescent="0.25">
      <c r="B166" s="13">
        <v>40104</v>
      </c>
      <c r="C166" s="12">
        <v>4</v>
      </c>
      <c r="D166" s="12" t="s">
        <v>10</v>
      </c>
      <c r="E166" s="12">
        <v>1</v>
      </c>
      <c r="F166" s="12">
        <f t="shared" si="4"/>
        <v>300</v>
      </c>
      <c r="G166" s="12">
        <v>330</v>
      </c>
      <c r="H166">
        <f t="shared" si="5"/>
        <v>3</v>
      </c>
    </row>
    <row r="167" spans="2:8" x14ac:dyDescent="0.25">
      <c r="B167" s="13">
        <v>40104</v>
      </c>
      <c r="C167" s="12">
        <v>5</v>
      </c>
      <c r="D167" s="12" t="s">
        <v>11</v>
      </c>
      <c r="E167" s="12">
        <v>3</v>
      </c>
      <c r="F167" s="12">
        <f t="shared" si="4"/>
        <v>400</v>
      </c>
      <c r="G167" s="12">
        <v>1320.0000000000002</v>
      </c>
      <c r="H167">
        <f t="shared" si="5"/>
        <v>4</v>
      </c>
    </row>
    <row r="168" spans="2:8" x14ac:dyDescent="0.25">
      <c r="B168" s="13">
        <v>40105</v>
      </c>
      <c r="C168" s="12">
        <v>1</v>
      </c>
      <c r="D168" s="12" t="s">
        <v>7</v>
      </c>
      <c r="E168" s="12">
        <v>1</v>
      </c>
      <c r="F168" s="12">
        <f t="shared" si="4"/>
        <v>100</v>
      </c>
      <c r="G168" s="12">
        <v>110.00000000000001</v>
      </c>
      <c r="H168">
        <f t="shared" si="5"/>
        <v>1</v>
      </c>
    </row>
    <row r="169" spans="2:8" x14ac:dyDescent="0.25">
      <c r="B169" s="13">
        <v>40105</v>
      </c>
      <c r="C169" s="12">
        <v>2</v>
      </c>
      <c r="D169" s="12" t="s">
        <v>8</v>
      </c>
      <c r="E169" s="12">
        <v>1</v>
      </c>
      <c r="F169" s="12">
        <f t="shared" si="4"/>
        <v>200</v>
      </c>
      <c r="G169" s="12">
        <v>240</v>
      </c>
      <c r="H169">
        <f t="shared" si="5"/>
        <v>1</v>
      </c>
    </row>
    <row r="170" spans="2:8" x14ac:dyDescent="0.25">
      <c r="B170" s="13">
        <v>40105</v>
      </c>
      <c r="C170" s="12">
        <v>5</v>
      </c>
      <c r="D170" s="12" t="s">
        <v>11</v>
      </c>
      <c r="E170" s="12">
        <v>6</v>
      </c>
      <c r="F170" s="12">
        <f t="shared" si="4"/>
        <v>400</v>
      </c>
      <c r="G170" s="12">
        <v>2640.0000000000005</v>
      </c>
      <c r="H170">
        <f t="shared" si="5"/>
        <v>4</v>
      </c>
    </row>
    <row r="171" spans="2:8" x14ac:dyDescent="0.25">
      <c r="B171" s="13">
        <v>40105</v>
      </c>
      <c r="C171" s="12">
        <v>6</v>
      </c>
      <c r="D171" s="12" t="s">
        <v>12</v>
      </c>
      <c r="E171" s="12">
        <v>9</v>
      </c>
      <c r="F171" s="12">
        <f t="shared" si="4"/>
        <v>500</v>
      </c>
      <c r="G171" s="12">
        <v>5400</v>
      </c>
      <c r="H171">
        <f t="shared" si="5"/>
        <v>4</v>
      </c>
    </row>
    <row r="172" spans="2:8" x14ac:dyDescent="0.25">
      <c r="B172" s="13">
        <v>40105</v>
      </c>
      <c r="C172" s="12">
        <v>4</v>
      </c>
      <c r="D172" s="12" t="s">
        <v>10</v>
      </c>
      <c r="E172" s="12">
        <v>8</v>
      </c>
      <c r="F172" s="12">
        <f t="shared" si="4"/>
        <v>300</v>
      </c>
      <c r="G172" s="12">
        <v>2640</v>
      </c>
      <c r="H172">
        <f t="shared" si="5"/>
        <v>3</v>
      </c>
    </row>
    <row r="173" spans="2:8" x14ac:dyDescent="0.25">
      <c r="B173" s="13">
        <v>40105</v>
      </c>
      <c r="C173" s="12">
        <v>1</v>
      </c>
      <c r="D173" s="12" t="s">
        <v>7</v>
      </c>
      <c r="E173" s="12">
        <v>3</v>
      </c>
      <c r="F173" s="12">
        <f t="shared" si="4"/>
        <v>100</v>
      </c>
      <c r="G173" s="12">
        <v>330.00000000000006</v>
      </c>
      <c r="H173">
        <f t="shared" si="5"/>
        <v>1</v>
      </c>
    </row>
    <row r="174" spans="2:8" x14ac:dyDescent="0.25">
      <c r="B174" s="13">
        <v>40105</v>
      </c>
      <c r="C174" s="12">
        <v>1</v>
      </c>
      <c r="D174" s="12" t="s">
        <v>7</v>
      </c>
      <c r="E174" s="12">
        <v>4</v>
      </c>
      <c r="F174" s="12">
        <f t="shared" si="4"/>
        <v>100</v>
      </c>
      <c r="G174" s="12">
        <v>440.00000000000006</v>
      </c>
      <c r="H174">
        <f t="shared" si="5"/>
        <v>1</v>
      </c>
    </row>
    <row r="175" spans="2:8" x14ac:dyDescent="0.25">
      <c r="B175" s="13">
        <v>40105</v>
      </c>
      <c r="C175" s="12">
        <v>3</v>
      </c>
      <c r="D175" s="12" t="s">
        <v>9</v>
      </c>
      <c r="E175" s="12">
        <v>7</v>
      </c>
      <c r="F175" s="12">
        <f t="shared" si="4"/>
        <v>150</v>
      </c>
      <c r="G175" s="12">
        <v>1155</v>
      </c>
      <c r="H175">
        <f t="shared" si="5"/>
        <v>2</v>
      </c>
    </row>
    <row r="176" spans="2:8" x14ac:dyDescent="0.25">
      <c r="B176" s="13">
        <v>40105</v>
      </c>
      <c r="C176" s="12">
        <v>5</v>
      </c>
      <c r="D176" s="12" t="s">
        <v>11</v>
      </c>
      <c r="E176" s="12">
        <v>4</v>
      </c>
      <c r="F176" s="12">
        <f t="shared" si="4"/>
        <v>400</v>
      </c>
      <c r="G176" s="12">
        <v>1760.0000000000002</v>
      </c>
      <c r="H176">
        <f t="shared" si="5"/>
        <v>4</v>
      </c>
    </row>
    <row r="177" spans="2:8" x14ac:dyDescent="0.25">
      <c r="B177" s="13">
        <v>40105</v>
      </c>
      <c r="C177" s="12">
        <v>1</v>
      </c>
      <c r="D177" s="12" t="s">
        <v>7</v>
      </c>
      <c r="E177" s="12">
        <v>10</v>
      </c>
      <c r="F177" s="12">
        <f t="shared" si="4"/>
        <v>100</v>
      </c>
      <c r="G177" s="12">
        <v>1100.0000000000002</v>
      </c>
      <c r="H177">
        <f t="shared" si="5"/>
        <v>1</v>
      </c>
    </row>
    <row r="178" spans="2:8" x14ac:dyDescent="0.25">
      <c r="B178" s="13">
        <v>40105</v>
      </c>
      <c r="C178" s="12">
        <v>2</v>
      </c>
      <c r="D178" s="12" t="s">
        <v>8</v>
      </c>
      <c r="E178" s="12">
        <v>8</v>
      </c>
      <c r="F178" s="12">
        <f t="shared" si="4"/>
        <v>200</v>
      </c>
      <c r="G178" s="12">
        <v>1920</v>
      </c>
      <c r="H178">
        <f t="shared" si="5"/>
        <v>1</v>
      </c>
    </row>
    <row r="179" spans="2:8" x14ac:dyDescent="0.25">
      <c r="B179" s="13">
        <v>40105</v>
      </c>
      <c r="C179" s="12">
        <v>2</v>
      </c>
      <c r="D179" s="12" t="s">
        <v>8</v>
      </c>
      <c r="E179" s="12">
        <v>2</v>
      </c>
      <c r="F179" s="12">
        <f t="shared" si="4"/>
        <v>200</v>
      </c>
      <c r="G179" s="12">
        <v>480</v>
      </c>
      <c r="H179">
        <f t="shared" si="5"/>
        <v>1</v>
      </c>
    </row>
    <row r="180" spans="2:8" x14ac:dyDescent="0.25">
      <c r="B180" s="13">
        <v>40105</v>
      </c>
      <c r="C180" s="12">
        <v>3</v>
      </c>
      <c r="D180" s="12" t="s">
        <v>9</v>
      </c>
      <c r="E180" s="12">
        <v>7</v>
      </c>
      <c r="F180" s="12">
        <f t="shared" si="4"/>
        <v>150</v>
      </c>
      <c r="G180" s="12">
        <v>1155</v>
      </c>
      <c r="H180">
        <f t="shared" si="5"/>
        <v>2</v>
      </c>
    </row>
    <row r="181" spans="2:8" x14ac:dyDescent="0.25">
      <c r="B181" s="13">
        <v>40105</v>
      </c>
      <c r="C181" s="12">
        <v>3</v>
      </c>
      <c r="D181" s="12" t="s">
        <v>9</v>
      </c>
      <c r="E181" s="12">
        <v>7</v>
      </c>
      <c r="F181" s="12">
        <f t="shared" si="4"/>
        <v>150</v>
      </c>
      <c r="G181" s="12">
        <v>1155</v>
      </c>
      <c r="H181">
        <f t="shared" si="5"/>
        <v>2</v>
      </c>
    </row>
    <row r="182" spans="2:8" x14ac:dyDescent="0.25">
      <c r="B182" s="13">
        <v>40105</v>
      </c>
      <c r="C182" s="12">
        <v>5</v>
      </c>
      <c r="D182" s="12" t="s">
        <v>11</v>
      </c>
      <c r="E182" s="12">
        <v>4</v>
      </c>
      <c r="F182" s="12">
        <f t="shared" si="4"/>
        <v>400</v>
      </c>
      <c r="G182" s="12">
        <v>1760.0000000000002</v>
      </c>
      <c r="H182">
        <f t="shared" si="5"/>
        <v>4</v>
      </c>
    </row>
    <row r="183" spans="2:8" x14ac:dyDescent="0.25">
      <c r="B183" s="13">
        <v>40105</v>
      </c>
      <c r="C183" s="12">
        <v>6</v>
      </c>
      <c r="D183" s="12" t="s">
        <v>12</v>
      </c>
      <c r="E183" s="12">
        <v>5</v>
      </c>
      <c r="F183" s="12">
        <f t="shared" si="4"/>
        <v>500</v>
      </c>
      <c r="G183" s="12">
        <v>3000</v>
      </c>
      <c r="H183">
        <f t="shared" si="5"/>
        <v>4</v>
      </c>
    </row>
    <row r="184" spans="2:8" x14ac:dyDescent="0.25">
      <c r="B184" s="13">
        <v>40105</v>
      </c>
      <c r="C184" s="12">
        <v>5</v>
      </c>
      <c r="D184" s="12" t="s">
        <v>11</v>
      </c>
      <c r="E184" s="12">
        <v>2</v>
      </c>
      <c r="F184" s="12">
        <f t="shared" si="4"/>
        <v>400</v>
      </c>
      <c r="G184" s="12">
        <v>880.00000000000011</v>
      </c>
      <c r="H184">
        <f t="shared" si="5"/>
        <v>4</v>
      </c>
    </row>
    <row r="185" spans="2:8" x14ac:dyDescent="0.25">
      <c r="B185" s="13">
        <v>40105</v>
      </c>
      <c r="C185" s="12">
        <v>3</v>
      </c>
      <c r="D185" s="12" t="s">
        <v>9</v>
      </c>
      <c r="E185" s="12">
        <v>10</v>
      </c>
      <c r="F185" s="12">
        <f t="shared" si="4"/>
        <v>150</v>
      </c>
      <c r="G185" s="12">
        <v>1650</v>
      </c>
      <c r="H185">
        <f t="shared" si="5"/>
        <v>2</v>
      </c>
    </row>
    <row r="186" spans="2:8" x14ac:dyDescent="0.25">
      <c r="B186" s="13">
        <v>40106</v>
      </c>
      <c r="C186" s="12">
        <v>2</v>
      </c>
      <c r="D186" s="12" t="s">
        <v>8</v>
      </c>
      <c r="E186" s="12">
        <v>3</v>
      </c>
      <c r="F186" s="12">
        <f t="shared" si="4"/>
        <v>200</v>
      </c>
      <c r="G186" s="12">
        <v>720</v>
      </c>
      <c r="H186">
        <f t="shared" si="5"/>
        <v>1</v>
      </c>
    </row>
    <row r="187" spans="2:8" x14ac:dyDescent="0.25">
      <c r="B187" s="13">
        <v>40106</v>
      </c>
      <c r="C187" s="12">
        <v>5</v>
      </c>
      <c r="D187" s="12" t="s">
        <v>11</v>
      </c>
      <c r="E187" s="12">
        <v>2</v>
      </c>
      <c r="F187" s="12">
        <f t="shared" si="4"/>
        <v>400</v>
      </c>
      <c r="G187" s="12">
        <v>880.00000000000011</v>
      </c>
      <c r="H187">
        <f t="shared" si="5"/>
        <v>4</v>
      </c>
    </row>
    <row r="188" spans="2:8" x14ac:dyDescent="0.25">
      <c r="B188" s="13">
        <v>40106</v>
      </c>
      <c r="C188" s="12">
        <v>5</v>
      </c>
      <c r="D188" s="12" t="s">
        <v>11</v>
      </c>
      <c r="E188" s="12">
        <v>1</v>
      </c>
      <c r="F188" s="12">
        <f t="shared" si="4"/>
        <v>400</v>
      </c>
      <c r="G188" s="12">
        <v>440.00000000000006</v>
      </c>
      <c r="H188">
        <f t="shared" si="5"/>
        <v>4</v>
      </c>
    </row>
    <row r="189" spans="2:8" x14ac:dyDescent="0.25">
      <c r="B189" s="13">
        <v>40106</v>
      </c>
      <c r="C189" s="12">
        <v>4</v>
      </c>
      <c r="D189" s="12" t="s">
        <v>10</v>
      </c>
      <c r="E189" s="12">
        <v>6</v>
      </c>
      <c r="F189" s="12">
        <f t="shared" si="4"/>
        <v>300</v>
      </c>
      <c r="G189" s="12">
        <v>1980</v>
      </c>
      <c r="H189">
        <f t="shared" si="5"/>
        <v>3</v>
      </c>
    </row>
    <row r="190" spans="2:8" x14ac:dyDescent="0.25">
      <c r="B190" s="13">
        <v>40106</v>
      </c>
      <c r="C190" s="12">
        <v>5</v>
      </c>
      <c r="D190" s="12" t="s">
        <v>11</v>
      </c>
      <c r="E190" s="12">
        <v>10</v>
      </c>
      <c r="F190" s="12">
        <f t="shared" si="4"/>
        <v>400</v>
      </c>
      <c r="G190" s="12">
        <v>4400.0000000000009</v>
      </c>
      <c r="H190">
        <f t="shared" si="5"/>
        <v>4</v>
      </c>
    </row>
    <row r="191" spans="2:8" x14ac:dyDescent="0.25">
      <c r="B191" s="13">
        <v>40106</v>
      </c>
      <c r="C191" s="12">
        <v>1</v>
      </c>
      <c r="D191" s="12" t="s">
        <v>7</v>
      </c>
      <c r="E191" s="12">
        <v>8</v>
      </c>
      <c r="F191" s="12">
        <f t="shared" si="4"/>
        <v>100</v>
      </c>
      <c r="G191" s="12">
        <v>880.00000000000011</v>
      </c>
      <c r="H191">
        <f t="shared" si="5"/>
        <v>1</v>
      </c>
    </row>
    <row r="192" spans="2:8" x14ac:dyDescent="0.25">
      <c r="B192" s="13">
        <v>40106</v>
      </c>
      <c r="C192" s="12">
        <v>6</v>
      </c>
      <c r="D192" s="12" t="s">
        <v>12</v>
      </c>
      <c r="E192" s="12">
        <v>10</v>
      </c>
      <c r="F192" s="12">
        <f t="shared" si="4"/>
        <v>500</v>
      </c>
      <c r="G192" s="12">
        <v>6000</v>
      </c>
      <c r="H192">
        <f t="shared" si="5"/>
        <v>4</v>
      </c>
    </row>
    <row r="193" spans="2:8" x14ac:dyDescent="0.25">
      <c r="B193" s="13">
        <v>40106</v>
      </c>
      <c r="C193" s="12">
        <v>6</v>
      </c>
      <c r="D193" s="12" t="s">
        <v>12</v>
      </c>
      <c r="E193" s="12">
        <v>3</v>
      </c>
      <c r="F193" s="12">
        <f t="shared" si="4"/>
        <v>500</v>
      </c>
      <c r="G193" s="12">
        <v>1800</v>
      </c>
      <c r="H193">
        <f t="shared" si="5"/>
        <v>4</v>
      </c>
    </row>
    <row r="194" spans="2:8" x14ac:dyDescent="0.25">
      <c r="B194" s="13">
        <v>40106</v>
      </c>
      <c r="C194" s="12">
        <v>3</v>
      </c>
      <c r="D194" s="12" t="s">
        <v>9</v>
      </c>
      <c r="E194" s="12">
        <v>2</v>
      </c>
      <c r="F194" s="12">
        <f t="shared" si="4"/>
        <v>150</v>
      </c>
      <c r="G194" s="12">
        <v>330</v>
      </c>
      <c r="H194">
        <f t="shared" si="5"/>
        <v>2</v>
      </c>
    </row>
    <row r="195" spans="2:8" x14ac:dyDescent="0.25">
      <c r="B195" s="13">
        <v>40106</v>
      </c>
      <c r="C195" s="12">
        <v>3</v>
      </c>
      <c r="D195" s="12" t="s">
        <v>9</v>
      </c>
      <c r="E195" s="12">
        <v>7</v>
      </c>
      <c r="F195" s="12">
        <f t="shared" ref="F195:F258" si="6" xml:space="preserve"> VLOOKUP(C195, Справочник_товары,4)</f>
        <v>150</v>
      </c>
      <c r="G195" s="12">
        <v>1155</v>
      </c>
      <c r="H195">
        <f t="shared" ref="H195:H258" si="7" xml:space="preserve"> VLOOKUP(C195, Справочник_товары,6)</f>
        <v>2</v>
      </c>
    </row>
    <row r="196" spans="2:8" x14ac:dyDescent="0.25">
      <c r="B196" s="13">
        <v>40106</v>
      </c>
      <c r="C196" s="12">
        <v>6</v>
      </c>
      <c r="D196" s="12" t="s">
        <v>12</v>
      </c>
      <c r="E196" s="12">
        <v>9</v>
      </c>
      <c r="F196" s="12">
        <f t="shared" si="6"/>
        <v>500</v>
      </c>
      <c r="G196" s="12">
        <v>5400</v>
      </c>
      <c r="H196">
        <f t="shared" si="7"/>
        <v>4</v>
      </c>
    </row>
    <row r="197" spans="2:8" x14ac:dyDescent="0.25">
      <c r="B197" s="13">
        <v>40107</v>
      </c>
      <c r="C197" s="12">
        <v>6</v>
      </c>
      <c r="D197" s="12" t="s">
        <v>12</v>
      </c>
      <c r="E197" s="12">
        <v>4</v>
      </c>
      <c r="F197" s="12">
        <f t="shared" si="6"/>
        <v>500</v>
      </c>
      <c r="G197" s="12">
        <v>2400</v>
      </c>
      <c r="H197">
        <f t="shared" si="7"/>
        <v>4</v>
      </c>
    </row>
    <row r="198" spans="2:8" x14ac:dyDescent="0.25">
      <c r="B198" s="13">
        <v>40107</v>
      </c>
      <c r="C198" s="12">
        <v>3</v>
      </c>
      <c r="D198" s="12" t="s">
        <v>9</v>
      </c>
      <c r="E198" s="12">
        <v>5</v>
      </c>
      <c r="F198" s="12">
        <f t="shared" si="6"/>
        <v>150</v>
      </c>
      <c r="G198" s="12">
        <v>825</v>
      </c>
      <c r="H198">
        <f t="shared" si="7"/>
        <v>2</v>
      </c>
    </row>
    <row r="199" spans="2:8" x14ac:dyDescent="0.25">
      <c r="B199" s="13">
        <v>40107</v>
      </c>
      <c r="C199" s="12">
        <v>1</v>
      </c>
      <c r="D199" s="12" t="s">
        <v>7</v>
      </c>
      <c r="E199" s="12">
        <v>7</v>
      </c>
      <c r="F199" s="12">
        <f t="shared" si="6"/>
        <v>100</v>
      </c>
      <c r="G199" s="12">
        <v>770.00000000000011</v>
      </c>
      <c r="H199">
        <f t="shared" si="7"/>
        <v>1</v>
      </c>
    </row>
    <row r="200" spans="2:8" x14ac:dyDescent="0.25">
      <c r="B200" s="13">
        <v>40107</v>
      </c>
      <c r="C200" s="12">
        <v>3</v>
      </c>
      <c r="D200" s="12" t="s">
        <v>9</v>
      </c>
      <c r="E200" s="12">
        <v>3</v>
      </c>
      <c r="F200" s="12">
        <f t="shared" si="6"/>
        <v>150</v>
      </c>
      <c r="G200" s="12">
        <v>495</v>
      </c>
      <c r="H200">
        <f t="shared" si="7"/>
        <v>2</v>
      </c>
    </row>
    <row r="201" spans="2:8" x14ac:dyDescent="0.25">
      <c r="B201" s="13">
        <v>40107</v>
      </c>
      <c r="C201" s="12">
        <v>1</v>
      </c>
      <c r="D201" s="12" t="s">
        <v>7</v>
      </c>
      <c r="E201" s="12">
        <v>10</v>
      </c>
      <c r="F201" s="12">
        <f t="shared" si="6"/>
        <v>100</v>
      </c>
      <c r="G201" s="12">
        <v>1100.0000000000002</v>
      </c>
      <c r="H201">
        <f t="shared" si="7"/>
        <v>1</v>
      </c>
    </row>
    <row r="202" spans="2:8" x14ac:dyDescent="0.25">
      <c r="B202" s="13">
        <v>40107</v>
      </c>
      <c r="C202" s="12">
        <v>1</v>
      </c>
      <c r="D202" s="12" t="s">
        <v>7</v>
      </c>
      <c r="E202" s="12">
        <v>1</v>
      </c>
      <c r="F202" s="12">
        <f t="shared" si="6"/>
        <v>100</v>
      </c>
      <c r="G202" s="12">
        <v>110.00000000000001</v>
      </c>
      <c r="H202">
        <f t="shared" si="7"/>
        <v>1</v>
      </c>
    </row>
    <row r="203" spans="2:8" x14ac:dyDescent="0.25">
      <c r="B203" s="13">
        <v>40107</v>
      </c>
      <c r="C203" s="12">
        <v>5</v>
      </c>
      <c r="D203" s="12" t="s">
        <v>11</v>
      </c>
      <c r="E203" s="12">
        <v>5</v>
      </c>
      <c r="F203" s="12">
        <f t="shared" si="6"/>
        <v>400</v>
      </c>
      <c r="G203" s="12">
        <v>2200.0000000000005</v>
      </c>
      <c r="H203">
        <f t="shared" si="7"/>
        <v>4</v>
      </c>
    </row>
    <row r="204" spans="2:8" x14ac:dyDescent="0.25">
      <c r="B204" s="13">
        <v>40107</v>
      </c>
      <c r="C204" s="12">
        <v>5</v>
      </c>
      <c r="D204" s="12" t="s">
        <v>11</v>
      </c>
      <c r="E204" s="12">
        <v>2</v>
      </c>
      <c r="F204" s="12">
        <f t="shared" si="6"/>
        <v>400</v>
      </c>
      <c r="G204" s="12">
        <v>880.00000000000011</v>
      </c>
      <c r="H204">
        <f t="shared" si="7"/>
        <v>4</v>
      </c>
    </row>
    <row r="205" spans="2:8" x14ac:dyDescent="0.25">
      <c r="B205" s="13">
        <v>40107</v>
      </c>
      <c r="C205" s="12">
        <v>1</v>
      </c>
      <c r="D205" s="12" t="s">
        <v>7</v>
      </c>
      <c r="E205" s="12">
        <v>5</v>
      </c>
      <c r="F205" s="12">
        <f t="shared" si="6"/>
        <v>100</v>
      </c>
      <c r="G205" s="12">
        <v>550.00000000000011</v>
      </c>
      <c r="H205">
        <f t="shared" si="7"/>
        <v>1</v>
      </c>
    </row>
    <row r="206" spans="2:8" x14ac:dyDescent="0.25">
      <c r="B206" s="13">
        <v>40107</v>
      </c>
      <c r="C206" s="12">
        <v>4</v>
      </c>
      <c r="D206" s="12" t="s">
        <v>10</v>
      </c>
      <c r="E206" s="12">
        <v>4</v>
      </c>
      <c r="F206" s="12">
        <f t="shared" si="6"/>
        <v>300</v>
      </c>
      <c r="G206" s="12">
        <v>1320</v>
      </c>
      <c r="H206">
        <f t="shared" si="7"/>
        <v>3</v>
      </c>
    </row>
    <row r="207" spans="2:8" x14ac:dyDescent="0.25">
      <c r="B207" s="13">
        <v>40107</v>
      </c>
      <c r="C207" s="12">
        <v>4</v>
      </c>
      <c r="D207" s="12" t="s">
        <v>10</v>
      </c>
      <c r="E207" s="12">
        <v>6</v>
      </c>
      <c r="F207" s="12">
        <f t="shared" si="6"/>
        <v>300</v>
      </c>
      <c r="G207" s="12">
        <v>1980</v>
      </c>
      <c r="H207">
        <f t="shared" si="7"/>
        <v>3</v>
      </c>
    </row>
    <row r="208" spans="2:8" x14ac:dyDescent="0.25">
      <c r="B208" s="13">
        <v>40108</v>
      </c>
      <c r="C208" s="12">
        <v>2</v>
      </c>
      <c r="D208" s="12" t="s">
        <v>8</v>
      </c>
      <c r="E208" s="12">
        <v>1</v>
      </c>
      <c r="F208" s="12">
        <f t="shared" si="6"/>
        <v>200</v>
      </c>
      <c r="G208" s="12">
        <v>240</v>
      </c>
      <c r="H208">
        <f t="shared" si="7"/>
        <v>1</v>
      </c>
    </row>
    <row r="209" spans="2:8" x14ac:dyDescent="0.25">
      <c r="B209" s="13">
        <v>40108</v>
      </c>
      <c r="C209" s="12">
        <v>4</v>
      </c>
      <c r="D209" s="12" t="s">
        <v>10</v>
      </c>
      <c r="E209" s="12">
        <v>6</v>
      </c>
      <c r="F209" s="12">
        <f t="shared" si="6"/>
        <v>300</v>
      </c>
      <c r="G209" s="12">
        <v>1980</v>
      </c>
      <c r="H209">
        <f t="shared" si="7"/>
        <v>3</v>
      </c>
    </row>
    <row r="210" spans="2:8" x14ac:dyDescent="0.25">
      <c r="B210" s="13">
        <v>40108</v>
      </c>
      <c r="C210" s="12">
        <v>5</v>
      </c>
      <c r="D210" s="12" t="s">
        <v>11</v>
      </c>
      <c r="E210" s="12">
        <v>8</v>
      </c>
      <c r="F210" s="12">
        <f t="shared" si="6"/>
        <v>400</v>
      </c>
      <c r="G210" s="12">
        <v>3520.0000000000005</v>
      </c>
      <c r="H210">
        <f t="shared" si="7"/>
        <v>4</v>
      </c>
    </row>
    <row r="211" spans="2:8" x14ac:dyDescent="0.25">
      <c r="B211" s="13">
        <v>40108</v>
      </c>
      <c r="C211" s="12">
        <v>6</v>
      </c>
      <c r="D211" s="12" t="s">
        <v>12</v>
      </c>
      <c r="E211" s="12">
        <v>6</v>
      </c>
      <c r="F211" s="12">
        <f t="shared" si="6"/>
        <v>500</v>
      </c>
      <c r="G211" s="12">
        <v>3600</v>
      </c>
      <c r="H211">
        <f t="shared" si="7"/>
        <v>4</v>
      </c>
    </row>
    <row r="212" spans="2:8" x14ac:dyDescent="0.25">
      <c r="B212" s="13">
        <v>40108</v>
      </c>
      <c r="C212" s="12">
        <v>5</v>
      </c>
      <c r="D212" s="12" t="s">
        <v>11</v>
      </c>
      <c r="E212" s="12">
        <v>1</v>
      </c>
      <c r="F212" s="12">
        <f t="shared" si="6"/>
        <v>400</v>
      </c>
      <c r="G212" s="12">
        <v>440.00000000000006</v>
      </c>
      <c r="H212">
        <f t="shared" si="7"/>
        <v>4</v>
      </c>
    </row>
    <row r="213" spans="2:8" x14ac:dyDescent="0.25">
      <c r="B213" s="13">
        <v>40108</v>
      </c>
      <c r="C213" s="12">
        <v>6</v>
      </c>
      <c r="D213" s="12" t="s">
        <v>12</v>
      </c>
      <c r="E213" s="12">
        <v>5</v>
      </c>
      <c r="F213" s="12">
        <f t="shared" si="6"/>
        <v>500</v>
      </c>
      <c r="G213" s="12">
        <v>3000</v>
      </c>
      <c r="H213">
        <f t="shared" si="7"/>
        <v>4</v>
      </c>
    </row>
    <row r="214" spans="2:8" x14ac:dyDescent="0.25">
      <c r="B214" s="13">
        <v>40108</v>
      </c>
      <c r="C214" s="12">
        <v>4</v>
      </c>
      <c r="D214" s="12" t="s">
        <v>10</v>
      </c>
      <c r="E214" s="12">
        <v>9</v>
      </c>
      <c r="F214" s="12">
        <f t="shared" si="6"/>
        <v>300</v>
      </c>
      <c r="G214" s="12">
        <v>2970</v>
      </c>
      <c r="H214">
        <f t="shared" si="7"/>
        <v>3</v>
      </c>
    </row>
    <row r="215" spans="2:8" x14ac:dyDescent="0.25">
      <c r="B215" s="13">
        <v>40108</v>
      </c>
      <c r="C215" s="12">
        <v>4</v>
      </c>
      <c r="D215" s="12" t="s">
        <v>10</v>
      </c>
      <c r="E215" s="12">
        <v>1</v>
      </c>
      <c r="F215" s="12">
        <f t="shared" si="6"/>
        <v>300</v>
      </c>
      <c r="G215" s="12">
        <v>330</v>
      </c>
      <c r="H215">
        <f t="shared" si="7"/>
        <v>3</v>
      </c>
    </row>
    <row r="216" spans="2:8" x14ac:dyDescent="0.25">
      <c r="B216" s="13">
        <v>40108</v>
      </c>
      <c r="C216" s="12">
        <v>5</v>
      </c>
      <c r="D216" s="12" t="s">
        <v>11</v>
      </c>
      <c r="E216" s="12">
        <v>8</v>
      </c>
      <c r="F216" s="12">
        <f t="shared" si="6"/>
        <v>400</v>
      </c>
      <c r="G216" s="12">
        <v>3520.0000000000005</v>
      </c>
      <c r="H216">
        <f t="shared" si="7"/>
        <v>4</v>
      </c>
    </row>
    <row r="217" spans="2:8" x14ac:dyDescent="0.25">
      <c r="B217" s="13">
        <v>40108</v>
      </c>
      <c r="C217" s="12">
        <v>1</v>
      </c>
      <c r="D217" s="12" t="s">
        <v>7</v>
      </c>
      <c r="E217" s="12">
        <v>5</v>
      </c>
      <c r="F217" s="12">
        <f t="shared" si="6"/>
        <v>100</v>
      </c>
      <c r="G217" s="12">
        <v>550.00000000000011</v>
      </c>
      <c r="H217">
        <f t="shared" si="7"/>
        <v>1</v>
      </c>
    </row>
    <row r="218" spans="2:8" x14ac:dyDescent="0.25">
      <c r="B218" s="13">
        <v>40108</v>
      </c>
      <c r="C218" s="12">
        <v>5</v>
      </c>
      <c r="D218" s="12" t="s">
        <v>11</v>
      </c>
      <c r="E218" s="12">
        <v>1</v>
      </c>
      <c r="F218" s="12">
        <f t="shared" si="6"/>
        <v>400</v>
      </c>
      <c r="G218" s="12">
        <v>440.00000000000006</v>
      </c>
      <c r="H218">
        <f t="shared" si="7"/>
        <v>4</v>
      </c>
    </row>
    <row r="219" spans="2:8" x14ac:dyDescent="0.25">
      <c r="B219" s="13">
        <v>40109</v>
      </c>
      <c r="C219" s="12">
        <v>3</v>
      </c>
      <c r="D219" s="12" t="s">
        <v>9</v>
      </c>
      <c r="E219" s="12">
        <v>8</v>
      </c>
      <c r="F219" s="12">
        <f t="shared" si="6"/>
        <v>150</v>
      </c>
      <c r="G219" s="12">
        <v>1320</v>
      </c>
      <c r="H219">
        <f t="shared" si="7"/>
        <v>2</v>
      </c>
    </row>
    <row r="220" spans="2:8" x14ac:dyDescent="0.25">
      <c r="B220" s="13">
        <v>40109</v>
      </c>
      <c r="C220" s="12">
        <v>4</v>
      </c>
      <c r="D220" s="12" t="s">
        <v>10</v>
      </c>
      <c r="E220" s="12">
        <v>3</v>
      </c>
      <c r="F220" s="12">
        <f t="shared" si="6"/>
        <v>300</v>
      </c>
      <c r="G220" s="12">
        <v>990</v>
      </c>
      <c r="H220">
        <f t="shared" si="7"/>
        <v>3</v>
      </c>
    </row>
    <row r="221" spans="2:8" x14ac:dyDescent="0.25">
      <c r="B221" s="13">
        <v>40109</v>
      </c>
      <c r="C221" s="12">
        <v>3</v>
      </c>
      <c r="D221" s="12" t="s">
        <v>9</v>
      </c>
      <c r="E221" s="12">
        <v>8</v>
      </c>
      <c r="F221" s="12">
        <f t="shared" si="6"/>
        <v>150</v>
      </c>
      <c r="G221" s="12">
        <v>1320</v>
      </c>
      <c r="H221">
        <f t="shared" si="7"/>
        <v>2</v>
      </c>
    </row>
    <row r="222" spans="2:8" x14ac:dyDescent="0.25">
      <c r="B222" s="13">
        <v>40109</v>
      </c>
      <c r="C222" s="12">
        <v>2</v>
      </c>
      <c r="D222" s="12" t="s">
        <v>8</v>
      </c>
      <c r="E222" s="12">
        <v>2</v>
      </c>
      <c r="F222" s="12">
        <f t="shared" si="6"/>
        <v>200</v>
      </c>
      <c r="G222" s="12">
        <v>480</v>
      </c>
      <c r="H222">
        <f t="shared" si="7"/>
        <v>1</v>
      </c>
    </row>
    <row r="223" spans="2:8" x14ac:dyDescent="0.25">
      <c r="B223" s="13">
        <v>40109</v>
      </c>
      <c r="C223" s="12">
        <v>3</v>
      </c>
      <c r="D223" s="12" t="s">
        <v>9</v>
      </c>
      <c r="E223" s="12">
        <v>1</v>
      </c>
      <c r="F223" s="12">
        <f t="shared" si="6"/>
        <v>150</v>
      </c>
      <c r="G223" s="12">
        <v>165</v>
      </c>
      <c r="H223">
        <f t="shared" si="7"/>
        <v>2</v>
      </c>
    </row>
    <row r="224" spans="2:8" x14ac:dyDescent="0.25">
      <c r="B224" s="13">
        <v>40109</v>
      </c>
      <c r="C224" s="12">
        <v>3</v>
      </c>
      <c r="D224" s="12" t="s">
        <v>9</v>
      </c>
      <c r="E224" s="12">
        <v>10</v>
      </c>
      <c r="F224" s="12">
        <f t="shared" si="6"/>
        <v>150</v>
      </c>
      <c r="G224" s="12">
        <v>1650</v>
      </c>
      <c r="H224">
        <f t="shared" si="7"/>
        <v>2</v>
      </c>
    </row>
    <row r="225" spans="2:8" x14ac:dyDescent="0.25">
      <c r="B225" s="13">
        <v>40109</v>
      </c>
      <c r="C225" s="12">
        <v>3</v>
      </c>
      <c r="D225" s="12" t="s">
        <v>9</v>
      </c>
      <c r="E225" s="12">
        <v>5</v>
      </c>
      <c r="F225" s="12">
        <f t="shared" si="6"/>
        <v>150</v>
      </c>
      <c r="G225" s="12">
        <v>825</v>
      </c>
      <c r="H225">
        <f t="shared" si="7"/>
        <v>2</v>
      </c>
    </row>
    <row r="226" spans="2:8" x14ac:dyDescent="0.25">
      <c r="B226" s="13">
        <v>40110</v>
      </c>
      <c r="C226" s="12">
        <v>2</v>
      </c>
      <c r="D226" s="12" t="s">
        <v>8</v>
      </c>
      <c r="E226" s="12">
        <v>7</v>
      </c>
      <c r="F226" s="12">
        <f t="shared" si="6"/>
        <v>200</v>
      </c>
      <c r="G226" s="12">
        <v>1680</v>
      </c>
      <c r="H226">
        <f t="shared" si="7"/>
        <v>1</v>
      </c>
    </row>
    <row r="227" spans="2:8" x14ac:dyDescent="0.25">
      <c r="B227" s="13">
        <v>40110</v>
      </c>
      <c r="C227" s="12">
        <v>2</v>
      </c>
      <c r="D227" s="12" t="s">
        <v>8</v>
      </c>
      <c r="E227" s="12">
        <v>3</v>
      </c>
      <c r="F227" s="12">
        <f t="shared" si="6"/>
        <v>200</v>
      </c>
      <c r="G227" s="12">
        <v>720</v>
      </c>
      <c r="H227">
        <f t="shared" si="7"/>
        <v>1</v>
      </c>
    </row>
    <row r="228" spans="2:8" x14ac:dyDescent="0.25">
      <c r="B228" s="13">
        <v>40110</v>
      </c>
      <c r="C228" s="12">
        <v>5</v>
      </c>
      <c r="D228" s="12" t="s">
        <v>11</v>
      </c>
      <c r="E228" s="12">
        <v>8</v>
      </c>
      <c r="F228" s="12">
        <f t="shared" si="6"/>
        <v>400</v>
      </c>
      <c r="G228" s="12">
        <v>3520.0000000000005</v>
      </c>
      <c r="H228">
        <f t="shared" si="7"/>
        <v>4</v>
      </c>
    </row>
    <row r="229" spans="2:8" x14ac:dyDescent="0.25">
      <c r="B229" s="13">
        <v>40110</v>
      </c>
      <c r="C229" s="12">
        <v>6</v>
      </c>
      <c r="D229" s="12" t="s">
        <v>12</v>
      </c>
      <c r="E229" s="12">
        <v>4</v>
      </c>
      <c r="F229" s="12">
        <f t="shared" si="6"/>
        <v>500</v>
      </c>
      <c r="G229" s="12">
        <v>2400</v>
      </c>
      <c r="H229">
        <f t="shared" si="7"/>
        <v>4</v>
      </c>
    </row>
    <row r="230" spans="2:8" x14ac:dyDescent="0.25">
      <c r="B230" s="13">
        <v>40110</v>
      </c>
      <c r="C230" s="12">
        <v>5</v>
      </c>
      <c r="D230" s="12" t="s">
        <v>11</v>
      </c>
      <c r="E230" s="12">
        <v>10</v>
      </c>
      <c r="F230" s="12">
        <f t="shared" si="6"/>
        <v>400</v>
      </c>
      <c r="G230" s="12">
        <v>4400.0000000000009</v>
      </c>
      <c r="H230">
        <f t="shared" si="7"/>
        <v>4</v>
      </c>
    </row>
    <row r="231" spans="2:8" x14ac:dyDescent="0.25">
      <c r="B231" s="13">
        <v>40110</v>
      </c>
      <c r="C231" s="12">
        <v>2</v>
      </c>
      <c r="D231" s="12" t="s">
        <v>8</v>
      </c>
      <c r="E231" s="12">
        <v>5</v>
      </c>
      <c r="F231" s="12">
        <f t="shared" si="6"/>
        <v>200</v>
      </c>
      <c r="G231" s="12">
        <v>1200</v>
      </c>
      <c r="H231">
        <f t="shared" si="7"/>
        <v>1</v>
      </c>
    </row>
    <row r="232" spans="2:8" x14ac:dyDescent="0.25">
      <c r="B232" s="13">
        <v>40110</v>
      </c>
      <c r="C232" s="12">
        <v>3</v>
      </c>
      <c r="D232" s="12" t="s">
        <v>9</v>
      </c>
      <c r="E232" s="12">
        <v>3</v>
      </c>
      <c r="F232" s="12">
        <f t="shared" si="6"/>
        <v>150</v>
      </c>
      <c r="G232" s="12">
        <v>495</v>
      </c>
      <c r="H232">
        <f t="shared" si="7"/>
        <v>2</v>
      </c>
    </row>
    <row r="233" spans="2:8" x14ac:dyDescent="0.25">
      <c r="B233" s="13">
        <v>40110</v>
      </c>
      <c r="C233" s="12">
        <v>4</v>
      </c>
      <c r="D233" s="12" t="s">
        <v>10</v>
      </c>
      <c r="E233" s="12">
        <v>9</v>
      </c>
      <c r="F233" s="12">
        <f t="shared" si="6"/>
        <v>300</v>
      </c>
      <c r="G233" s="12">
        <v>2970</v>
      </c>
      <c r="H233">
        <f t="shared" si="7"/>
        <v>3</v>
      </c>
    </row>
    <row r="234" spans="2:8" x14ac:dyDescent="0.25">
      <c r="B234" s="13">
        <v>40110</v>
      </c>
      <c r="C234" s="12">
        <v>6</v>
      </c>
      <c r="D234" s="12" t="s">
        <v>12</v>
      </c>
      <c r="E234" s="12">
        <v>10</v>
      </c>
      <c r="F234" s="12">
        <f t="shared" si="6"/>
        <v>500</v>
      </c>
      <c r="G234" s="12">
        <v>6000</v>
      </c>
      <c r="H234">
        <f t="shared" si="7"/>
        <v>4</v>
      </c>
    </row>
    <row r="235" spans="2:8" x14ac:dyDescent="0.25">
      <c r="B235" s="13">
        <v>40110</v>
      </c>
      <c r="C235" s="12">
        <v>6</v>
      </c>
      <c r="D235" s="12" t="s">
        <v>12</v>
      </c>
      <c r="E235" s="12">
        <v>6</v>
      </c>
      <c r="F235" s="12">
        <f t="shared" si="6"/>
        <v>500</v>
      </c>
      <c r="G235" s="12">
        <v>3600</v>
      </c>
      <c r="H235">
        <f t="shared" si="7"/>
        <v>4</v>
      </c>
    </row>
    <row r="236" spans="2:8" x14ac:dyDescent="0.25">
      <c r="B236" s="13">
        <v>40110</v>
      </c>
      <c r="C236" s="12">
        <v>6</v>
      </c>
      <c r="D236" s="12" t="s">
        <v>12</v>
      </c>
      <c r="E236" s="12">
        <v>3</v>
      </c>
      <c r="F236" s="12">
        <f t="shared" si="6"/>
        <v>500</v>
      </c>
      <c r="G236" s="12">
        <v>1800</v>
      </c>
      <c r="H236">
        <f t="shared" si="7"/>
        <v>4</v>
      </c>
    </row>
    <row r="237" spans="2:8" x14ac:dyDescent="0.25">
      <c r="B237" s="13">
        <v>40111</v>
      </c>
      <c r="C237" s="12">
        <v>4</v>
      </c>
      <c r="D237" s="12" t="s">
        <v>10</v>
      </c>
      <c r="E237" s="12">
        <v>10</v>
      </c>
      <c r="F237" s="12">
        <f t="shared" si="6"/>
        <v>300</v>
      </c>
      <c r="G237" s="12">
        <v>3300</v>
      </c>
      <c r="H237">
        <f t="shared" si="7"/>
        <v>3</v>
      </c>
    </row>
    <row r="238" spans="2:8" x14ac:dyDescent="0.25">
      <c r="B238" s="13">
        <v>40111</v>
      </c>
      <c r="C238" s="12">
        <v>1</v>
      </c>
      <c r="D238" s="12" t="s">
        <v>7</v>
      </c>
      <c r="E238" s="12">
        <v>6</v>
      </c>
      <c r="F238" s="12">
        <f t="shared" si="6"/>
        <v>100</v>
      </c>
      <c r="G238" s="12">
        <v>660.00000000000011</v>
      </c>
      <c r="H238">
        <f t="shared" si="7"/>
        <v>1</v>
      </c>
    </row>
    <row r="239" spans="2:8" x14ac:dyDescent="0.25">
      <c r="B239" s="13">
        <v>40111</v>
      </c>
      <c r="C239" s="12">
        <v>3</v>
      </c>
      <c r="D239" s="12" t="s">
        <v>9</v>
      </c>
      <c r="E239" s="12">
        <v>5</v>
      </c>
      <c r="F239" s="12">
        <f t="shared" si="6"/>
        <v>150</v>
      </c>
      <c r="G239" s="12">
        <v>825</v>
      </c>
      <c r="H239">
        <f t="shared" si="7"/>
        <v>2</v>
      </c>
    </row>
    <row r="240" spans="2:8" x14ac:dyDescent="0.25">
      <c r="B240" s="13">
        <v>40111</v>
      </c>
      <c r="C240" s="12">
        <v>6</v>
      </c>
      <c r="D240" s="12" t="s">
        <v>12</v>
      </c>
      <c r="E240" s="12">
        <v>6</v>
      </c>
      <c r="F240" s="12">
        <f t="shared" si="6"/>
        <v>500</v>
      </c>
      <c r="G240" s="12">
        <v>3600</v>
      </c>
      <c r="H240">
        <f t="shared" si="7"/>
        <v>4</v>
      </c>
    </row>
    <row r="241" spans="2:8" x14ac:dyDescent="0.25">
      <c r="B241" s="13">
        <v>40111</v>
      </c>
      <c r="C241" s="12">
        <v>1</v>
      </c>
      <c r="D241" s="12" t="s">
        <v>7</v>
      </c>
      <c r="E241" s="12">
        <v>1</v>
      </c>
      <c r="F241" s="12">
        <f t="shared" si="6"/>
        <v>100</v>
      </c>
      <c r="G241" s="12">
        <v>110.00000000000001</v>
      </c>
      <c r="H241">
        <f t="shared" si="7"/>
        <v>1</v>
      </c>
    </row>
    <row r="242" spans="2:8" x14ac:dyDescent="0.25">
      <c r="B242" s="13">
        <v>40111</v>
      </c>
      <c r="C242" s="12">
        <v>3</v>
      </c>
      <c r="D242" s="12" t="s">
        <v>9</v>
      </c>
      <c r="E242" s="12">
        <v>9</v>
      </c>
      <c r="F242" s="12">
        <f t="shared" si="6"/>
        <v>150</v>
      </c>
      <c r="G242" s="12">
        <v>1485</v>
      </c>
      <c r="H242">
        <f t="shared" si="7"/>
        <v>2</v>
      </c>
    </row>
    <row r="243" spans="2:8" x14ac:dyDescent="0.25">
      <c r="B243" s="13">
        <v>40111</v>
      </c>
      <c r="C243" s="12">
        <v>2</v>
      </c>
      <c r="D243" s="12" t="s">
        <v>8</v>
      </c>
      <c r="E243" s="12">
        <v>9</v>
      </c>
      <c r="F243" s="12">
        <f t="shared" si="6"/>
        <v>200</v>
      </c>
      <c r="G243" s="12">
        <v>2160</v>
      </c>
      <c r="H243">
        <f t="shared" si="7"/>
        <v>1</v>
      </c>
    </row>
    <row r="244" spans="2:8" x14ac:dyDescent="0.25">
      <c r="B244" s="13">
        <v>40111</v>
      </c>
      <c r="C244" s="12">
        <v>3</v>
      </c>
      <c r="D244" s="12" t="s">
        <v>9</v>
      </c>
      <c r="E244" s="12">
        <v>9</v>
      </c>
      <c r="F244" s="12">
        <f t="shared" si="6"/>
        <v>150</v>
      </c>
      <c r="G244" s="12">
        <v>1485</v>
      </c>
      <c r="H244">
        <f t="shared" si="7"/>
        <v>2</v>
      </c>
    </row>
    <row r="245" spans="2:8" x14ac:dyDescent="0.25">
      <c r="B245" s="13">
        <v>40111</v>
      </c>
      <c r="C245" s="12">
        <v>5</v>
      </c>
      <c r="D245" s="12" t="s">
        <v>11</v>
      </c>
      <c r="E245" s="12">
        <v>8</v>
      </c>
      <c r="F245" s="12">
        <f t="shared" si="6"/>
        <v>400</v>
      </c>
      <c r="G245" s="12">
        <v>3520.0000000000005</v>
      </c>
      <c r="H245">
        <f t="shared" si="7"/>
        <v>4</v>
      </c>
    </row>
    <row r="246" spans="2:8" x14ac:dyDescent="0.25">
      <c r="B246" s="13">
        <v>40111</v>
      </c>
      <c r="C246" s="12">
        <v>1</v>
      </c>
      <c r="D246" s="12" t="s">
        <v>7</v>
      </c>
      <c r="E246" s="12">
        <v>3</v>
      </c>
      <c r="F246" s="12">
        <f t="shared" si="6"/>
        <v>100</v>
      </c>
      <c r="G246" s="12">
        <v>330.00000000000006</v>
      </c>
      <c r="H246">
        <f t="shared" si="7"/>
        <v>1</v>
      </c>
    </row>
    <row r="247" spans="2:8" x14ac:dyDescent="0.25">
      <c r="B247" s="13">
        <v>40111</v>
      </c>
      <c r="C247" s="12">
        <v>2</v>
      </c>
      <c r="D247" s="12" t="s">
        <v>8</v>
      </c>
      <c r="E247" s="12">
        <v>3</v>
      </c>
      <c r="F247" s="12">
        <f t="shared" si="6"/>
        <v>200</v>
      </c>
      <c r="G247" s="12">
        <v>720</v>
      </c>
      <c r="H247">
        <f t="shared" si="7"/>
        <v>1</v>
      </c>
    </row>
    <row r="248" spans="2:8" x14ac:dyDescent="0.25">
      <c r="B248" s="13">
        <v>40111</v>
      </c>
      <c r="C248" s="12">
        <v>1</v>
      </c>
      <c r="D248" s="12" t="s">
        <v>7</v>
      </c>
      <c r="E248" s="12">
        <v>10</v>
      </c>
      <c r="F248" s="12">
        <f t="shared" si="6"/>
        <v>100</v>
      </c>
      <c r="G248" s="12">
        <v>1100.0000000000002</v>
      </c>
      <c r="H248">
        <f t="shared" si="7"/>
        <v>1</v>
      </c>
    </row>
    <row r="249" spans="2:8" x14ac:dyDescent="0.25">
      <c r="B249" s="13">
        <v>40111</v>
      </c>
      <c r="C249" s="12">
        <v>6</v>
      </c>
      <c r="D249" s="12" t="s">
        <v>12</v>
      </c>
      <c r="E249" s="12">
        <v>10</v>
      </c>
      <c r="F249" s="12">
        <f t="shared" si="6"/>
        <v>500</v>
      </c>
      <c r="G249" s="12">
        <v>6000</v>
      </c>
      <c r="H249">
        <f t="shared" si="7"/>
        <v>4</v>
      </c>
    </row>
    <row r="250" spans="2:8" x14ac:dyDescent="0.25">
      <c r="B250" s="13">
        <v>40112</v>
      </c>
      <c r="C250" s="12">
        <v>1</v>
      </c>
      <c r="D250" s="12" t="s">
        <v>7</v>
      </c>
      <c r="E250" s="12">
        <v>3</v>
      </c>
      <c r="F250" s="12">
        <f t="shared" si="6"/>
        <v>100</v>
      </c>
      <c r="G250" s="12">
        <v>330.00000000000006</v>
      </c>
      <c r="H250">
        <f t="shared" si="7"/>
        <v>1</v>
      </c>
    </row>
    <row r="251" spans="2:8" x14ac:dyDescent="0.25">
      <c r="B251" s="13">
        <v>40112</v>
      </c>
      <c r="C251" s="12">
        <v>6</v>
      </c>
      <c r="D251" s="12" t="s">
        <v>12</v>
      </c>
      <c r="E251" s="12">
        <v>9</v>
      </c>
      <c r="F251" s="12">
        <f t="shared" si="6"/>
        <v>500</v>
      </c>
      <c r="G251" s="12">
        <v>5400</v>
      </c>
      <c r="H251">
        <f t="shared" si="7"/>
        <v>4</v>
      </c>
    </row>
    <row r="252" spans="2:8" x14ac:dyDescent="0.25">
      <c r="B252" s="13">
        <v>40112</v>
      </c>
      <c r="C252" s="12">
        <v>4</v>
      </c>
      <c r="D252" s="12" t="s">
        <v>10</v>
      </c>
      <c r="E252" s="12">
        <v>3</v>
      </c>
      <c r="F252" s="12">
        <f t="shared" si="6"/>
        <v>300</v>
      </c>
      <c r="G252" s="12">
        <v>990</v>
      </c>
      <c r="H252">
        <f t="shared" si="7"/>
        <v>3</v>
      </c>
    </row>
    <row r="253" spans="2:8" x14ac:dyDescent="0.25">
      <c r="B253" s="13">
        <v>40112</v>
      </c>
      <c r="C253" s="12">
        <v>5</v>
      </c>
      <c r="D253" s="12" t="s">
        <v>11</v>
      </c>
      <c r="E253" s="12">
        <v>6</v>
      </c>
      <c r="F253" s="12">
        <f t="shared" si="6"/>
        <v>400</v>
      </c>
      <c r="G253" s="12">
        <v>2640.0000000000005</v>
      </c>
      <c r="H253">
        <f t="shared" si="7"/>
        <v>4</v>
      </c>
    </row>
    <row r="254" spans="2:8" x14ac:dyDescent="0.25">
      <c r="B254" s="13">
        <v>40112</v>
      </c>
      <c r="C254" s="12">
        <v>5</v>
      </c>
      <c r="D254" s="12" t="s">
        <v>11</v>
      </c>
      <c r="E254" s="12">
        <v>5</v>
      </c>
      <c r="F254" s="12">
        <f t="shared" si="6"/>
        <v>400</v>
      </c>
      <c r="G254" s="12">
        <v>2200.0000000000005</v>
      </c>
      <c r="H254">
        <f t="shared" si="7"/>
        <v>4</v>
      </c>
    </row>
    <row r="255" spans="2:8" x14ac:dyDescent="0.25">
      <c r="B255" s="13">
        <v>40112</v>
      </c>
      <c r="C255" s="12">
        <v>1</v>
      </c>
      <c r="D255" s="12" t="s">
        <v>7</v>
      </c>
      <c r="E255" s="12">
        <v>2</v>
      </c>
      <c r="F255" s="12">
        <f t="shared" si="6"/>
        <v>100</v>
      </c>
      <c r="G255" s="12">
        <v>220.00000000000003</v>
      </c>
      <c r="H255">
        <f t="shared" si="7"/>
        <v>1</v>
      </c>
    </row>
    <row r="256" spans="2:8" x14ac:dyDescent="0.25">
      <c r="B256" s="13">
        <v>40112</v>
      </c>
      <c r="C256" s="12">
        <v>3</v>
      </c>
      <c r="D256" s="12" t="s">
        <v>9</v>
      </c>
      <c r="E256" s="12">
        <v>1</v>
      </c>
      <c r="F256" s="12">
        <f t="shared" si="6"/>
        <v>150</v>
      </c>
      <c r="G256" s="12">
        <v>165</v>
      </c>
      <c r="H256">
        <f t="shared" si="7"/>
        <v>2</v>
      </c>
    </row>
    <row r="257" spans="2:8" x14ac:dyDescent="0.25">
      <c r="B257" s="13">
        <v>40112</v>
      </c>
      <c r="C257" s="12">
        <v>2</v>
      </c>
      <c r="D257" s="12" t="s">
        <v>8</v>
      </c>
      <c r="E257" s="12">
        <v>2</v>
      </c>
      <c r="F257" s="12">
        <f t="shared" si="6"/>
        <v>200</v>
      </c>
      <c r="G257" s="12">
        <v>480</v>
      </c>
      <c r="H257">
        <f t="shared" si="7"/>
        <v>1</v>
      </c>
    </row>
    <row r="258" spans="2:8" x14ac:dyDescent="0.25">
      <c r="B258" s="13">
        <v>40112</v>
      </c>
      <c r="C258" s="12">
        <v>3</v>
      </c>
      <c r="D258" s="12" t="s">
        <v>9</v>
      </c>
      <c r="E258" s="12">
        <v>4</v>
      </c>
      <c r="F258" s="12">
        <f t="shared" si="6"/>
        <v>150</v>
      </c>
      <c r="G258" s="12">
        <v>660</v>
      </c>
      <c r="H258">
        <f t="shared" si="7"/>
        <v>2</v>
      </c>
    </row>
    <row r="259" spans="2:8" x14ac:dyDescent="0.25">
      <c r="B259" s="13">
        <v>40112</v>
      </c>
      <c r="C259" s="12">
        <v>2</v>
      </c>
      <c r="D259" s="12" t="s">
        <v>8</v>
      </c>
      <c r="E259" s="12">
        <v>2</v>
      </c>
      <c r="F259" s="12">
        <f t="shared" ref="F259:F300" si="8" xml:space="preserve"> VLOOKUP(C259, Справочник_товары,4)</f>
        <v>200</v>
      </c>
      <c r="G259" s="12">
        <v>480</v>
      </c>
      <c r="H259">
        <f t="shared" ref="H259:H300" si="9" xml:space="preserve"> VLOOKUP(C259, Справочник_товары,6)</f>
        <v>1</v>
      </c>
    </row>
    <row r="260" spans="2:8" x14ac:dyDescent="0.25">
      <c r="B260" s="13">
        <v>40112</v>
      </c>
      <c r="C260" s="12">
        <v>6</v>
      </c>
      <c r="D260" s="12" t="s">
        <v>12</v>
      </c>
      <c r="E260" s="12">
        <v>10</v>
      </c>
      <c r="F260" s="12">
        <f t="shared" si="8"/>
        <v>500</v>
      </c>
      <c r="G260" s="12">
        <v>6000</v>
      </c>
      <c r="H260">
        <f t="shared" si="9"/>
        <v>4</v>
      </c>
    </row>
    <row r="261" spans="2:8" x14ac:dyDescent="0.25">
      <c r="B261" s="13">
        <v>40112</v>
      </c>
      <c r="C261" s="12">
        <v>3</v>
      </c>
      <c r="D261" s="12" t="s">
        <v>9</v>
      </c>
      <c r="E261" s="12">
        <v>1</v>
      </c>
      <c r="F261" s="12">
        <f t="shared" si="8"/>
        <v>150</v>
      </c>
      <c r="G261" s="12">
        <v>165</v>
      </c>
      <c r="H261">
        <f t="shared" si="9"/>
        <v>2</v>
      </c>
    </row>
    <row r="262" spans="2:8" x14ac:dyDescent="0.25">
      <c r="B262" s="13">
        <v>40112</v>
      </c>
      <c r="C262" s="12">
        <v>6</v>
      </c>
      <c r="D262" s="12" t="s">
        <v>12</v>
      </c>
      <c r="E262" s="12">
        <v>5</v>
      </c>
      <c r="F262" s="12">
        <f t="shared" si="8"/>
        <v>500</v>
      </c>
      <c r="G262" s="12">
        <v>3000</v>
      </c>
      <c r="H262">
        <f t="shared" si="9"/>
        <v>4</v>
      </c>
    </row>
    <row r="263" spans="2:8" x14ac:dyDescent="0.25">
      <c r="B263" s="13">
        <v>40113</v>
      </c>
      <c r="C263" s="12">
        <v>3</v>
      </c>
      <c r="D263" s="12" t="s">
        <v>9</v>
      </c>
      <c r="E263" s="12">
        <v>9</v>
      </c>
      <c r="F263" s="12">
        <f t="shared" si="8"/>
        <v>150</v>
      </c>
      <c r="G263" s="12">
        <v>1485</v>
      </c>
      <c r="H263">
        <f t="shared" si="9"/>
        <v>2</v>
      </c>
    </row>
    <row r="264" spans="2:8" x14ac:dyDescent="0.25">
      <c r="B264" s="13">
        <v>40113</v>
      </c>
      <c r="C264" s="12">
        <v>2</v>
      </c>
      <c r="D264" s="12" t="s">
        <v>8</v>
      </c>
      <c r="E264" s="12">
        <v>5</v>
      </c>
      <c r="F264" s="12">
        <f t="shared" si="8"/>
        <v>200</v>
      </c>
      <c r="G264" s="12">
        <v>1200</v>
      </c>
      <c r="H264">
        <f t="shared" si="9"/>
        <v>1</v>
      </c>
    </row>
    <row r="265" spans="2:8" x14ac:dyDescent="0.25">
      <c r="B265" s="13">
        <v>40113</v>
      </c>
      <c r="C265" s="12">
        <v>4</v>
      </c>
      <c r="D265" s="12" t="s">
        <v>10</v>
      </c>
      <c r="E265" s="12">
        <v>8</v>
      </c>
      <c r="F265" s="12">
        <f t="shared" si="8"/>
        <v>300</v>
      </c>
      <c r="G265" s="12">
        <v>2640</v>
      </c>
      <c r="H265">
        <f t="shared" si="9"/>
        <v>3</v>
      </c>
    </row>
    <row r="266" spans="2:8" x14ac:dyDescent="0.25">
      <c r="B266" s="13">
        <v>40113</v>
      </c>
      <c r="C266" s="12">
        <v>6</v>
      </c>
      <c r="D266" s="12" t="s">
        <v>12</v>
      </c>
      <c r="E266" s="12">
        <v>10</v>
      </c>
      <c r="F266" s="12">
        <f t="shared" si="8"/>
        <v>500</v>
      </c>
      <c r="G266" s="12">
        <v>6000</v>
      </c>
      <c r="H266">
        <f t="shared" si="9"/>
        <v>4</v>
      </c>
    </row>
    <row r="267" spans="2:8" x14ac:dyDescent="0.25">
      <c r="B267" s="13">
        <v>40113</v>
      </c>
      <c r="C267" s="12">
        <v>3</v>
      </c>
      <c r="D267" s="12" t="s">
        <v>9</v>
      </c>
      <c r="E267" s="12">
        <v>4</v>
      </c>
      <c r="F267" s="12">
        <f t="shared" si="8"/>
        <v>150</v>
      </c>
      <c r="G267" s="12">
        <v>660</v>
      </c>
      <c r="H267">
        <f t="shared" si="9"/>
        <v>2</v>
      </c>
    </row>
    <row r="268" spans="2:8" x14ac:dyDescent="0.25">
      <c r="B268" s="13">
        <v>40113</v>
      </c>
      <c r="C268" s="12">
        <v>4</v>
      </c>
      <c r="D268" s="12" t="s">
        <v>10</v>
      </c>
      <c r="E268" s="12">
        <v>5</v>
      </c>
      <c r="F268" s="12">
        <f t="shared" si="8"/>
        <v>300</v>
      </c>
      <c r="G268" s="12">
        <v>1650</v>
      </c>
      <c r="H268">
        <f t="shared" si="9"/>
        <v>3</v>
      </c>
    </row>
    <row r="269" spans="2:8" x14ac:dyDescent="0.25">
      <c r="B269" s="13">
        <v>40113</v>
      </c>
      <c r="C269" s="12">
        <v>6</v>
      </c>
      <c r="D269" s="12" t="s">
        <v>12</v>
      </c>
      <c r="E269" s="12">
        <v>6</v>
      </c>
      <c r="F269" s="12">
        <f t="shared" si="8"/>
        <v>500</v>
      </c>
      <c r="G269" s="12">
        <v>3600</v>
      </c>
      <c r="H269">
        <f t="shared" si="9"/>
        <v>4</v>
      </c>
    </row>
    <row r="270" spans="2:8" x14ac:dyDescent="0.25">
      <c r="B270" s="13">
        <v>40113</v>
      </c>
      <c r="C270" s="12">
        <v>3</v>
      </c>
      <c r="D270" s="12" t="s">
        <v>9</v>
      </c>
      <c r="E270" s="12">
        <v>3</v>
      </c>
      <c r="F270" s="12">
        <f t="shared" si="8"/>
        <v>150</v>
      </c>
      <c r="G270" s="12">
        <v>495</v>
      </c>
      <c r="H270">
        <f t="shared" si="9"/>
        <v>2</v>
      </c>
    </row>
    <row r="271" spans="2:8" x14ac:dyDescent="0.25">
      <c r="B271" s="13">
        <v>40113</v>
      </c>
      <c r="C271" s="12">
        <v>1</v>
      </c>
      <c r="D271" s="12" t="s">
        <v>7</v>
      </c>
      <c r="E271" s="12">
        <v>9</v>
      </c>
      <c r="F271" s="12">
        <f t="shared" si="8"/>
        <v>100</v>
      </c>
      <c r="G271" s="12">
        <v>990.00000000000011</v>
      </c>
      <c r="H271">
        <f t="shared" si="9"/>
        <v>1</v>
      </c>
    </row>
    <row r="272" spans="2:8" x14ac:dyDescent="0.25">
      <c r="B272" s="13">
        <v>40113</v>
      </c>
      <c r="C272" s="12">
        <v>2</v>
      </c>
      <c r="D272" s="12" t="s">
        <v>8</v>
      </c>
      <c r="E272" s="12">
        <v>8</v>
      </c>
      <c r="F272" s="12">
        <f t="shared" si="8"/>
        <v>200</v>
      </c>
      <c r="G272" s="12">
        <v>1920</v>
      </c>
      <c r="H272">
        <f t="shared" si="9"/>
        <v>1</v>
      </c>
    </row>
    <row r="273" spans="2:8" x14ac:dyDescent="0.25">
      <c r="B273" s="13">
        <v>40113</v>
      </c>
      <c r="C273" s="12">
        <v>1</v>
      </c>
      <c r="D273" s="12" t="s">
        <v>7</v>
      </c>
      <c r="E273" s="12">
        <v>10</v>
      </c>
      <c r="F273" s="12">
        <f t="shared" si="8"/>
        <v>100</v>
      </c>
      <c r="G273" s="12">
        <v>1100.0000000000002</v>
      </c>
      <c r="H273">
        <f t="shared" si="9"/>
        <v>1</v>
      </c>
    </row>
    <row r="274" spans="2:8" x14ac:dyDescent="0.25">
      <c r="B274" s="13">
        <v>40113</v>
      </c>
      <c r="C274" s="12">
        <v>3</v>
      </c>
      <c r="D274" s="12" t="s">
        <v>9</v>
      </c>
      <c r="E274" s="12">
        <v>6</v>
      </c>
      <c r="F274" s="12">
        <f t="shared" si="8"/>
        <v>150</v>
      </c>
      <c r="G274" s="12">
        <v>990</v>
      </c>
      <c r="H274">
        <f t="shared" si="9"/>
        <v>2</v>
      </c>
    </row>
    <row r="275" spans="2:8" x14ac:dyDescent="0.25">
      <c r="B275" s="13">
        <v>40113</v>
      </c>
      <c r="C275" s="12">
        <v>6</v>
      </c>
      <c r="D275" s="12" t="s">
        <v>12</v>
      </c>
      <c r="E275" s="12">
        <v>7</v>
      </c>
      <c r="F275" s="12">
        <f t="shared" si="8"/>
        <v>500</v>
      </c>
      <c r="G275" s="12">
        <v>4200</v>
      </c>
      <c r="H275">
        <f t="shared" si="9"/>
        <v>4</v>
      </c>
    </row>
    <row r="276" spans="2:8" x14ac:dyDescent="0.25">
      <c r="B276" s="13">
        <v>40114</v>
      </c>
      <c r="C276" s="12">
        <v>5</v>
      </c>
      <c r="D276" s="12" t="s">
        <v>11</v>
      </c>
      <c r="E276" s="12">
        <v>5</v>
      </c>
      <c r="F276" s="12">
        <f t="shared" si="8"/>
        <v>400</v>
      </c>
      <c r="G276" s="12">
        <v>2200.0000000000005</v>
      </c>
      <c r="H276">
        <f t="shared" si="9"/>
        <v>4</v>
      </c>
    </row>
    <row r="277" spans="2:8" x14ac:dyDescent="0.25">
      <c r="B277" s="13">
        <v>40114</v>
      </c>
      <c r="C277" s="12">
        <v>5</v>
      </c>
      <c r="D277" s="12" t="s">
        <v>11</v>
      </c>
      <c r="E277" s="12">
        <v>9</v>
      </c>
      <c r="F277" s="12">
        <f t="shared" si="8"/>
        <v>400</v>
      </c>
      <c r="G277" s="12">
        <v>3960.0000000000005</v>
      </c>
      <c r="H277">
        <f t="shared" si="9"/>
        <v>4</v>
      </c>
    </row>
    <row r="278" spans="2:8" x14ac:dyDescent="0.25">
      <c r="B278" s="13">
        <v>40114</v>
      </c>
      <c r="C278" s="12">
        <v>5</v>
      </c>
      <c r="D278" s="12" t="s">
        <v>11</v>
      </c>
      <c r="E278" s="12">
        <v>9</v>
      </c>
      <c r="F278" s="12">
        <f t="shared" si="8"/>
        <v>400</v>
      </c>
      <c r="G278" s="12">
        <v>3960.0000000000005</v>
      </c>
      <c r="H278">
        <f t="shared" si="9"/>
        <v>4</v>
      </c>
    </row>
    <row r="279" spans="2:8" x14ac:dyDescent="0.25">
      <c r="B279" s="13">
        <v>40114</v>
      </c>
      <c r="C279" s="12">
        <v>3</v>
      </c>
      <c r="D279" s="12" t="s">
        <v>9</v>
      </c>
      <c r="E279" s="12">
        <v>8</v>
      </c>
      <c r="F279" s="12">
        <f t="shared" si="8"/>
        <v>150</v>
      </c>
      <c r="G279" s="12">
        <v>1320</v>
      </c>
      <c r="H279">
        <f t="shared" si="9"/>
        <v>2</v>
      </c>
    </row>
    <row r="280" spans="2:8" x14ac:dyDescent="0.25">
      <c r="B280" s="13">
        <v>40114</v>
      </c>
      <c r="C280" s="12">
        <v>5</v>
      </c>
      <c r="D280" s="12" t="s">
        <v>11</v>
      </c>
      <c r="E280" s="12">
        <v>5</v>
      </c>
      <c r="F280" s="12">
        <f t="shared" si="8"/>
        <v>400</v>
      </c>
      <c r="G280" s="12">
        <v>2200.0000000000005</v>
      </c>
      <c r="H280">
        <f t="shared" si="9"/>
        <v>4</v>
      </c>
    </row>
    <row r="281" spans="2:8" x14ac:dyDescent="0.25">
      <c r="B281" s="13">
        <v>40114</v>
      </c>
      <c r="C281" s="12">
        <v>6</v>
      </c>
      <c r="D281" s="12" t="s">
        <v>12</v>
      </c>
      <c r="E281" s="12">
        <v>10</v>
      </c>
      <c r="F281" s="12">
        <f t="shared" si="8"/>
        <v>500</v>
      </c>
      <c r="G281" s="12">
        <v>6000</v>
      </c>
      <c r="H281">
        <f t="shared" si="9"/>
        <v>4</v>
      </c>
    </row>
    <row r="282" spans="2:8" x14ac:dyDescent="0.25">
      <c r="B282" s="13">
        <v>40114</v>
      </c>
      <c r="C282" s="12">
        <v>4</v>
      </c>
      <c r="D282" s="12" t="s">
        <v>10</v>
      </c>
      <c r="E282" s="12">
        <v>7</v>
      </c>
      <c r="F282" s="12">
        <f t="shared" si="8"/>
        <v>300</v>
      </c>
      <c r="G282" s="12">
        <v>2310</v>
      </c>
      <c r="H282">
        <f t="shared" si="9"/>
        <v>3</v>
      </c>
    </row>
    <row r="283" spans="2:8" x14ac:dyDescent="0.25">
      <c r="B283" s="13">
        <v>40114</v>
      </c>
      <c r="C283" s="12">
        <v>5</v>
      </c>
      <c r="D283" s="12" t="s">
        <v>11</v>
      </c>
      <c r="E283" s="12">
        <v>6</v>
      </c>
      <c r="F283" s="12">
        <f t="shared" si="8"/>
        <v>400</v>
      </c>
      <c r="G283" s="12">
        <v>2640.0000000000005</v>
      </c>
      <c r="H283">
        <f t="shared" si="9"/>
        <v>4</v>
      </c>
    </row>
    <row r="284" spans="2:8" x14ac:dyDescent="0.25">
      <c r="B284" s="13">
        <v>40115</v>
      </c>
      <c r="C284" s="12">
        <v>4</v>
      </c>
      <c r="D284" s="12" t="s">
        <v>10</v>
      </c>
      <c r="E284" s="12">
        <v>3</v>
      </c>
      <c r="F284" s="12">
        <f t="shared" si="8"/>
        <v>300</v>
      </c>
      <c r="G284" s="12">
        <v>990</v>
      </c>
      <c r="H284">
        <f t="shared" si="9"/>
        <v>3</v>
      </c>
    </row>
    <row r="285" spans="2:8" x14ac:dyDescent="0.25">
      <c r="B285" s="13">
        <v>40115</v>
      </c>
      <c r="C285" s="12">
        <v>4</v>
      </c>
      <c r="D285" s="12" t="s">
        <v>10</v>
      </c>
      <c r="E285" s="12">
        <v>10</v>
      </c>
      <c r="F285" s="12">
        <f t="shared" si="8"/>
        <v>300</v>
      </c>
      <c r="G285" s="12">
        <v>3300</v>
      </c>
      <c r="H285">
        <f t="shared" si="9"/>
        <v>3</v>
      </c>
    </row>
    <row r="286" spans="2:8" x14ac:dyDescent="0.25">
      <c r="B286" s="13">
        <v>40115</v>
      </c>
      <c r="C286" s="12">
        <v>3</v>
      </c>
      <c r="D286" s="12" t="s">
        <v>9</v>
      </c>
      <c r="E286" s="12">
        <v>4</v>
      </c>
      <c r="F286" s="12">
        <f t="shared" si="8"/>
        <v>150</v>
      </c>
      <c r="G286" s="12">
        <v>660</v>
      </c>
      <c r="H286">
        <f t="shared" si="9"/>
        <v>2</v>
      </c>
    </row>
    <row r="287" spans="2:8" x14ac:dyDescent="0.25">
      <c r="B287" s="13">
        <v>40115</v>
      </c>
      <c r="C287" s="12">
        <v>5</v>
      </c>
      <c r="D287" s="12" t="s">
        <v>11</v>
      </c>
      <c r="E287" s="12">
        <v>9</v>
      </c>
      <c r="F287" s="12">
        <f t="shared" si="8"/>
        <v>400</v>
      </c>
      <c r="G287" s="12">
        <v>3960.0000000000005</v>
      </c>
      <c r="H287">
        <f t="shared" si="9"/>
        <v>4</v>
      </c>
    </row>
    <row r="288" spans="2:8" x14ac:dyDescent="0.25">
      <c r="B288" s="13">
        <v>40115</v>
      </c>
      <c r="C288" s="12">
        <v>3</v>
      </c>
      <c r="D288" s="12" t="s">
        <v>9</v>
      </c>
      <c r="E288" s="12">
        <v>10</v>
      </c>
      <c r="F288" s="12">
        <f t="shared" si="8"/>
        <v>150</v>
      </c>
      <c r="G288" s="12">
        <v>1650</v>
      </c>
      <c r="H288">
        <f t="shared" si="9"/>
        <v>2</v>
      </c>
    </row>
    <row r="289" spans="2:8" x14ac:dyDescent="0.25">
      <c r="B289" s="13">
        <v>40115</v>
      </c>
      <c r="C289" s="12">
        <v>1</v>
      </c>
      <c r="D289" s="12" t="s">
        <v>7</v>
      </c>
      <c r="E289" s="12">
        <v>5</v>
      </c>
      <c r="F289" s="12">
        <f t="shared" si="8"/>
        <v>100</v>
      </c>
      <c r="G289" s="12">
        <v>550.00000000000011</v>
      </c>
      <c r="H289">
        <f t="shared" si="9"/>
        <v>1</v>
      </c>
    </row>
    <row r="290" spans="2:8" x14ac:dyDescent="0.25">
      <c r="B290" s="13">
        <v>40115</v>
      </c>
      <c r="C290" s="12">
        <v>4</v>
      </c>
      <c r="D290" s="12" t="s">
        <v>10</v>
      </c>
      <c r="E290" s="12">
        <v>8</v>
      </c>
      <c r="F290" s="12">
        <f t="shared" si="8"/>
        <v>300</v>
      </c>
      <c r="G290" s="12">
        <v>2640</v>
      </c>
      <c r="H290">
        <f t="shared" si="9"/>
        <v>3</v>
      </c>
    </row>
    <row r="291" spans="2:8" x14ac:dyDescent="0.25">
      <c r="B291" s="13">
        <v>40115</v>
      </c>
      <c r="C291" s="12">
        <v>6</v>
      </c>
      <c r="D291" s="12" t="s">
        <v>12</v>
      </c>
      <c r="E291" s="12">
        <v>1</v>
      </c>
      <c r="F291" s="12">
        <f t="shared" si="8"/>
        <v>500</v>
      </c>
      <c r="G291" s="12">
        <v>600</v>
      </c>
      <c r="H291">
        <f t="shared" si="9"/>
        <v>4</v>
      </c>
    </row>
    <row r="292" spans="2:8" x14ac:dyDescent="0.25">
      <c r="B292" s="13">
        <v>40115</v>
      </c>
      <c r="C292" s="12">
        <v>2</v>
      </c>
      <c r="D292" s="12" t="s">
        <v>8</v>
      </c>
      <c r="E292" s="12">
        <v>8</v>
      </c>
      <c r="F292" s="12">
        <f t="shared" si="8"/>
        <v>200</v>
      </c>
      <c r="G292" s="12">
        <v>1920</v>
      </c>
      <c r="H292">
        <f t="shared" si="9"/>
        <v>1</v>
      </c>
    </row>
    <row r="293" spans="2:8" x14ac:dyDescent="0.25">
      <c r="B293" s="13">
        <v>40115</v>
      </c>
      <c r="C293" s="12">
        <v>3</v>
      </c>
      <c r="D293" s="12" t="s">
        <v>9</v>
      </c>
      <c r="E293" s="12">
        <v>1</v>
      </c>
      <c r="F293" s="12">
        <f t="shared" si="8"/>
        <v>150</v>
      </c>
      <c r="G293" s="12">
        <v>165</v>
      </c>
      <c r="H293">
        <f t="shared" si="9"/>
        <v>2</v>
      </c>
    </row>
    <row r="294" spans="2:8" x14ac:dyDescent="0.25">
      <c r="B294" s="13">
        <v>40116</v>
      </c>
      <c r="C294" s="12">
        <v>6</v>
      </c>
      <c r="D294" s="12" t="s">
        <v>12</v>
      </c>
      <c r="E294" s="12">
        <v>7</v>
      </c>
      <c r="F294" s="12">
        <f t="shared" si="8"/>
        <v>500</v>
      </c>
      <c r="G294" s="12">
        <v>4200</v>
      </c>
      <c r="H294">
        <f t="shared" si="9"/>
        <v>4</v>
      </c>
    </row>
    <row r="295" spans="2:8" x14ac:dyDescent="0.25">
      <c r="B295" s="13">
        <v>40116</v>
      </c>
      <c r="C295" s="12">
        <v>4</v>
      </c>
      <c r="D295" s="12" t="s">
        <v>10</v>
      </c>
      <c r="E295" s="12">
        <v>1</v>
      </c>
      <c r="F295" s="12">
        <f t="shared" si="8"/>
        <v>300</v>
      </c>
      <c r="G295" s="12">
        <v>330</v>
      </c>
      <c r="H295">
        <f t="shared" si="9"/>
        <v>3</v>
      </c>
    </row>
    <row r="296" spans="2:8" x14ac:dyDescent="0.25">
      <c r="B296" s="13">
        <v>40116</v>
      </c>
      <c r="C296" s="12">
        <v>2</v>
      </c>
      <c r="D296" s="12" t="s">
        <v>8</v>
      </c>
      <c r="E296" s="12">
        <v>7</v>
      </c>
      <c r="F296" s="12">
        <f t="shared" si="8"/>
        <v>200</v>
      </c>
      <c r="G296" s="12">
        <v>1680</v>
      </c>
      <c r="H296">
        <f t="shared" si="9"/>
        <v>1</v>
      </c>
    </row>
    <row r="297" spans="2:8" x14ac:dyDescent="0.25">
      <c r="B297" s="13">
        <v>40116</v>
      </c>
      <c r="C297" s="12">
        <v>5</v>
      </c>
      <c r="D297" s="12" t="s">
        <v>11</v>
      </c>
      <c r="E297" s="12">
        <v>2</v>
      </c>
      <c r="F297" s="12">
        <f t="shared" si="8"/>
        <v>400</v>
      </c>
      <c r="G297" s="12">
        <v>880.00000000000011</v>
      </c>
      <c r="H297">
        <f t="shared" si="9"/>
        <v>4</v>
      </c>
    </row>
    <row r="298" spans="2:8" x14ac:dyDescent="0.25">
      <c r="B298" s="13">
        <v>40116</v>
      </c>
      <c r="C298" s="12">
        <v>5</v>
      </c>
      <c r="D298" s="12" t="s">
        <v>11</v>
      </c>
      <c r="E298" s="12">
        <v>9</v>
      </c>
      <c r="F298" s="12">
        <f t="shared" si="8"/>
        <v>400</v>
      </c>
      <c r="G298" s="12">
        <v>3960.0000000000005</v>
      </c>
      <c r="H298">
        <f t="shared" si="9"/>
        <v>4</v>
      </c>
    </row>
    <row r="299" spans="2:8" x14ac:dyDescent="0.25">
      <c r="B299" s="13">
        <v>40116</v>
      </c>
      <c r="C299" s="12">
        <v>6</v>
      </c>
      <c r="D299" s="12" t="s">
        <v>12</v>
      </c>
      <c r="E299" s="12">
        <v>3</v>
      </c>
      <c r="F299" s="12">
        <f t="shared" si="8"/>
        <v>500</v>
      </c>
      <c r="G299" s="12">
        <v>1800</v>
      </c>
      <c r="H299">
        <f t="shared" si="9"/>
        <v>4</v>
      </c>
    </row>
    <row r="300" spans="2:8" x14ac:dyDescent="0.25">
      <c r="B300" s="13">
        <v>40116</v>
      </c>
      <c r="C300" s="12">
        <v>2</v>
      </c>
      <c r="D300" s="12" t="s">
        <v>8</v>
      </c>
      <c r="E300" s="12">
        <v>4</v>
      </c>
      <c r="F300" s="12">
        <f t="shared" si="8"/>
        <v>200</v>
      </c>
      <c r="G300" s="12">
        <v>960</v>
      </c>
      <c r="H300">
        <f t="shared" si="9"/>
        <v>1</v>
      </c>
    </row>
  </sheetData>
  <mergeCells count="1">
    <mergeCell ref="K10:O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C3:E7"/>
  <sheetViews>
    <sheetView workbookViewId="0">
      <selection activeCell="F3" sqref="F3"/>
    </sheetView>
  </sheetViews>
  <sheetFormatPr defaultRowHeight="15" x14ac:dyDescent="0.25"/>
  <cols>
    <col min="3" max="3" width="15.7109375" bestFit="1" customWidth="1"/>
    <col min="4" max="4" width="20.28515625" bestFit="1" customWidth="1"/>
    <col min="5" max="5" width="4.140625" customWidth="1"/>
  </cols>
  <sheetData>
    <row r="3" spans="3:5" x14ac:dyDescent="0.25">
      <c r="C3" s="27" t="s">
        <v>6</v>
      </c>
      <c r="D3" s="27" t="s">
        <v>2</v>
      </c>
      <c r="E3" s="27"/>
    </row>
    <row r="4" spans="3:5" x14ac:dyDescent="0.25">
      <c r="C4" s="27">
        <v>3</v>
      </c>
      <c r="D4" s="27" t="s">
        <v>83</v>
      </c>
      <c r="E4" s="27">
        <v>3</v>
      </c>
    </row>
    <row r="5" spans="3:5" x14ac:dyDescent="0.25">
      <c r="C5" s="27">
        <v>2</v>
      </c>
      <c r="D5" s="27" t="s">
        <v>84</v>
      </c>
      <c r="E5" s="27">
        <v>2</v>
      </c>
    </row>
    <row r="6" spans="3:5" x14ac:dyDescent="0.25">
      <c r="C6" s="27">
        <v>4</v>
      </c>
      <c r="D6" s="27" t="s">
        <v>85</v>
      </c>
      <c r="E6" s="27">
        <v>4</v>
      </c>
    </row>
    <row r="7" spans="3:5" x14ac:dyDescent="0.25">
      <c r="C7" s="27">
        <v>1</v>
      </c>
      <c r="D7" s="27" t="s">
        <v>86</v>
      </c>
      <c r="E7" s="27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19050</xdr:colOff>
                <xdr:row>17</xdr:row>
                <xdr:rowOff>0</xdr:rowOff>
              </from>
              <to>
                <xdr:col>2</xdr:col>
                <xdr:colOff>638175</xdr:colOff>
                <xdr:row>19</xdr:row>
                <xdr:rowOff>28575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5:F12"/>
  <sheetViews>
    <sheetView workbookViewId="0">
      <selection activeCell="G14" sqref="G14"/>
    </sheetView>
  </sheetViews>
  <sheetFormatPr defaultRowHeight="15" x14ac:dyDescent="0.25"/>
  <cols>
    <col min="2" max="2" width="18.140625" customWidth="1"/>
    <col min="3" max="3" width="13.85546875" customWidth="1"/>
  </cols>
  <sheetData>
    <row r="5" spans="2:6" ht="15.75" thickBot="1" x14ac:dyDescent="0.3"/>
    <row r="6" spans="2:6" ht="15.75" thickBot="1" x14ac:dyDescent="0.3">
      <c r="B6" s="40" t="s">
        <v>33</v>
      </c>
      <c r="C6" s="41" t="s">
        <v>40</v>
      </c>
      <c r="D6" s="42" t="s">
        <v>41</v>
      </c>
      <c r="E6" s="41" t="s">
        <v>42</v>
      </c>
      <c r="F6" s="43" t="s">
        <v>38</v>
      </c>
    </row>
    <row r="7" spans="2:6" x14ac:dyDescent="0.25">
      <c r="B7" s="39">
        <v>100</v>
      </c>
      <c r="C7" s="39" t="s">
        <v>43</v>
      </c>
      <c r="D7" s="39" t="s">
        <v>44</v>
      </c>
      <c r="E7" s="39">
        <v>14500</v>
      </c>
      <c r="F7" s="39">
        <v>1</v>
      </c>
    </row>
    <row r="8" spans="2:6" x14ac:dyDescent="0.25">
      <c r="B8" s="27">
        <v>2200</v>
      </c>
      <c r="C8" s="27" t="s">
        <v>49</v>
      </c>
      <c r="D8" s="27" t="s">
        <v>45</v>
      </c>
      <c r="E8" s="27">
        <v>8000</v>
      </c>
      <c r="F8" s="27">
        <v>2</v>
      </c>
    </row>
    <row r="9" spans="2:6" x14ac:dyDescent="0.25">
      <c r="B9" s="27">
        <v>1600</v>
      </c>
      <c r="C9" s="27" t="s">
        <v>50</v>
      </c>
      <c r="D9" s="27" t="s">
        <v>46</v>
      </c>
      <c r="E9" s="27">
        <v>9000</v>
      </c>
      <c r="F9" s="27">
        <v>0</v>
      </c>
    </row>
    <row r="10" spans="2:6" x14ac:dyDescent="0.25">
      <c r="B10" s="27">
        <v>6500</v>
      </c>
      <c r="C10" s="27" t="s">
        <v>51</v>
      </c>
      <c r="D10" s="27" t="s">
        <v>47</v>
      </c>
      <c r="E10" s="27">
        <v>14000</v>
      </c>
      <c r="F10" s="27">
        <v>2</v>
      </c>
    </row>
    <row r="11" spans="2:6" x14ac:dyDescent="0.25">
      <c r="B11" s="27">
        <v>6200</v>
      </c>
      <c r="C11" s="27" t="s">
        <v>52</v>
      </c>
      <c r="D11" s="27" t="s">
        <v>47</v>
      </c>
      <c r="E11" s="27">
        <v>7000</v>
      </c>
      <c r="F11" s="27">
        <v>1</v>
      </c>
    </row>
    <row r="12" spans="2:6" x14ac:dyDescent="0.25">
      <c r="B12" s="27">
        <v>700</v>
      </c>
      <c r="C12" s="27" t="s">
        <v>53</v>
      </c>
      <c r="D12" s="27" t="s">
        <v>48</v>
      </c>
      <c r="E12" s="27">
        <v>6000</v>
      </c>
      <c r="F12" s="27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0</xdr:rowOff>
              </from>
              <to>
                <xdr:col>2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2:U18"/>
  <sheetViews>
    <sheetView workbookViewId="0">
      <selection activeCell="L24" sqref="L24"/>
    </sheetView>
  </sheetViews>
  <sheetFormatPr defaultRowHeight="15" x14ac:dyDescent="0.25"/>
  <cols>
    <col min="2" max="2" width="15.140625" customWidth="1"/>
    <col min="3" max="3" width="15" customWidth="1"/>
    <col min="4" max="4" width="11.7109375" customWidth="1"/>
    <col min="5" max="5" width="11.28515625" customWidth="1"/>
    <col min="7" max="9" width="0" hidden="1" customWidth="1"/>
  </cols>
  <sheetData>
    <row r="2" spans="2:21" x14ac:dyDescent="0.25">
      <c r="U2" t="s">
        <v>21</v>
      </c>
    </row>
    <row r="3" spans="2:21" x14ac:dyDescent="0.25">
      <c r="U3" t="s">
        <v>22</v>
      </c>
    </row>
    <row r="4" spans="2:21" ht="15.75" thickBot="1" x14ac:dyDescent="0.3">
      <c r="U4" t="s">
        <v>23</v>
      </c>
    </row>
    <row r="5" spans="2:21" ht="15.75" thickBot="1" x14ac:dyDescent="0.3">
      <c r="B5" s="33"/>
      <c r="C5" s="36"/>
      <c r="D5" s="36"/>
      <c r="E5" s="30"/>
      <c r="U5" t="s">
        <v>24</v>
      </c>
    </row>
    <row r="6" spans="2:21" ht="16.5" thickBot="1" x14ac:dyDescent="0.3">
      <c r="B6" s="34"/>
      <c r="C6" s="78" t="s">
        <v>20</v>
      </c>
      <c r="D6" s="79"/>
      <c r="E6" s="31"/>
      <c r="P6" t="s">
        <v>61</v>
      </c>
      <c r="U6" t="s">
        <v>25</v>
      </c>
    </row>
    <row r="7" spans="2:21" x14ac:dyDescent="0.25">
      <c r="B7" s="34"/>
      <c r="C7" s="37"/>
      <c r="D7" s="37"/>
      <c r="E7" s="31"/>
      <c r="U7" t="s">
        <v>26</v>
      </c>
    </row>
    <row r="8" spans="2:21" x14ac:dyDescent="0.25">
      <c r="B8" s="34"/>
      <c r="C8" s="37"/>
      <c r="D8" s="37"/>
      <c r="E8" s="31"/>
      <c r="U8" t="s">
        <v>27</v>
      </c>
    </row>
    <row r="9" spans="2:21" ht="15.75" thickBot="1" x14ac:dyDescent="0.3">
      <c r="B9" s="35"/>
      <c r="C9" s="38"/>
      <c r="D9" s="38"/>
      <c r="E9" s="32"/>
      <c r="U9" t="s">
        <v>28</v>
      </c>
    </row>
    <row r="10" spans="2:21" x14ac:dyDescent="0.25">
      <c r="U10" t="s">
        <v>29</v>
      </c>
    </row>
    <row r="11" spans="2:21" x14ac:dyDescent="0.25">
      <c r="U11" t="s">
        <v>30</v>
      </c>
    </row>
    <row r="12" spans="2:21" x14ac:dyDescent="0.25">
      <c r="B12" s="29" t="s">
        <v>33</v>
      </c>
      <c r="C12" s="29" t="s">
        <v>37</v>
      </c>
      <c r="D12" s="29" t="s">
        <v>34</v>
      </c>
      <c r="E12" s="29" t="s">
        <v>35</v>
      </c>
      <c r="F12" s="29" t="s">
        <v>36</v>
      </c>
      <c r="G12" s="29" t="s">
        <v>38</v>
      </c>
      <c r="H12" s="29" t="s">
        <v>16</v>
      </c>
      <c r="I12" s="29" t="s">
        <v>39</v>
      </c>
      <c r="U12" t="s">
        <v>31</v>
      </c>
    </row>
    <row r="13" spans="2:21" x14ac:dyDescent="0.25">
      <c r="B13" s="27">
        <f>Сотрудники!B7</f>
        <v>100</v>
      </c>
      <c r="C13" s="27" t="str">
        <f>Сотрудники!C7&amp;" "&amp;LEFT(Сотрудники!D7)&amp;"."</f>
        <v>Александров А.</v>
      </c>
      <c r="D13" s="27">
        <f>Сотрудники!E7</f>
        <v>14500</v>
      </c>
      <c r="E13" s="27">
        <f t="shared" ref="E13:E18" si="0">IF(H13&lt;280000,(D13-I13)*0.13,D13*0.13)</f>
        <v>429</v>
      </c>
      <c r="F13" s="27">
        <f t="shared" ref="F13:F18" si="1">D13- E13</f>
        <v>14071</v>
      </c>
      <c r="G13" s="27">
        <f>Сотрудники!F7</f>
        <v>1</v>
      </c>
      <c r="H13" s="27">
        <f t="shared" ref="H13:H18" si="2">$U$14*D13</f>
        <v>72500</v>
      </c>
      <c r="I13" s="27">
        <f t="shared" ref="I13:I18" si="3">IF(G13&lt;3,G13*1400,2800+(G13-2)*3000)*8</f>
        <v>11200</v>
      </c>
      <c r="U13" t="s">
        <v>32</v>
      </c>
    </row>
    <row r="14" spans="2:21" x14ac:dyDescent="0.25">
      <c r="B14" s="27">
        <f>Сотрудники!B8</f>
        <v>2200</v>
      </c>
      <c r="C14" s="27" t="str">
        <f>Сотрудники!C8&amp;" "&amp;LEFT(Сотрудники!D8)&amp;"."</f>
        <v>Петров В.</v>
      </c>
      <c r="D14" s="27">
        <f>Сотрудники!E8</f>
        <v>8000</v>
      </c>
      <c r="E14" s="27">
        <f t="shared" si="0"/>
        <v>-1872</v>
      </c>
      <c r="F14" s="27">
        <f t="shared" si="1"/>
        <v>9872</v>
      </c>
      <c r="G14" s="27">
        <f>Сотрудники!F8</f>
        <v>2</v>
      </c>
      <c r="H14" s="27">
        <f t="shared" si="2"/>
        <v>40000</v>
      </c>
      <c r="I14" s="27">
        <f t="shared" si="3"/>
        <v>22400</v>
      </c>
      <c r="U14">
        <v>5</v>
      </c>
    </row>
    <row r="15" spans="2:21" x14ac:dyDescent="0.25">
      <c r="B15" s="27">
        <f>Сотрудники!B9</f>
        <v>1600</v>
      </c>
      <c r="C15" s="27" t="str">
        <f>Сотрудники!C9&amp;" "&amp;LEFT(Сотрудники!D9)&amp;"."</f>
        <v>Смирнов И.</v>
      </c>
      <c r="D15" s="27">
        <f>Сотрудники!E9</f>
        <v>9000</v>
      </c>
      <c r="E15" s="27">
        <f t="shared" si="0"/>
        <v>1170</v>
      </c>
      <c r="F15" s="27">
        <f t="shared" si="1"/>
        <v>7830</v>
      </c>
      <c r="G15" s="27">
        <f>Сотрудники!F9</f>
        <v>0</v>
      </c>
      <c r="H15" s="27">
        <f t="shared" si="2"/>
        <v>45000</v>
      </c>
      <c r="I15" s="27">
        <f t="shared" si="3"/>
        <v>0</v>
      </c>
    </row>
    <row r="16" spans="2:21" x14ac:dyDescent="0.25">
      <c r="B16" s="27">
        <f>Сотрудники!B10</f>
        <v>6500</v>
      </c>
      <c r="C16" s="27" t="str">
        <f>Сотрудники!C10&amp;" "&amp;LEFT(Сотрудники!D10)&amp;"."</f>
        <v>Меньшов О.</v>
      </c>
      <c r="D16" s="27">
        <f>Сотрудники!E10</f>
        <v>14000</v>
      </c>
      <c r="E16" s="27">
        <f t="shared" si="0"/>
        <v>-1092</v>
      </c>
      <c r="F16" s="27">
        <f t="shared" si="1"/>
        <v>15092</v>
      </c>
      <c r="G16" s="27">
        <f>Сотрудники!F10</f>
        <v>2</v>
      </c>
      <c r="H16" s="27">
        <f t="shared" si="2"/>
        <v>70000</v>
      </c>
      <c r="I16" s="27">
        <f t="shared" si="3"/>
        <v>22400</v>
      </c>
    </row>
    <row r="17" spans="2:9" x14ac:dyDescent="0.25">
      <c r="B17" s="27">
        <f>Сотрудники!B11</f>
        <v>6200</v>
      </c>
      <c r="C17" s="27" t="str">
        <f>Сотрудники!C11&amp;" "&amp;LEFT(Сотрудники!D11)&amp;"."</f>
        <v>Баранов О.</v>
      </c>
      <c r="D17" s="27">
        <f>Сотрудники!E11</f>
        <v>7000</v>
      </c>
      <c r="E17" s="27">
        <f t="shared" si="0"/>
        <v>-546</v>
      </c>
      <c r="F17" s="27">
        <f t="shared" si="1"/>
        <v>7546</v>
      </c>
      <c r="G17" s="27">
        <f>Сотрудники!F11</f>
        <v>1</v>
      </c>
      <c r="H17" s="27">
        <f t="shared" si="2"/>
        <v>35000</v>
      </c>
      <c r="I17" s="27">
        <f t="shared" si="3"/>
        <v>11200</v>
      </c>
    </row>
    <row r="18" spans="2:9" x14ac:dyDescent="0.25">
      <c r="B18" s="27">
        <f>Сотрудники!B12</f>
        <v>700</v>
      </c>
      <c r="C18" s="27" t="str">
        <f>Сотрудники!C12&amp;" "&amp;LEFT(Сотрудники!D12)&amp;"."</f>
        <v>Коротков П.</v>
      </c>
      <c r="D18" s="27">
        <f>Сотрудники!E12</f>
        <v>6000</v>
      </c>
      <c r="E18" s="27">
        <f t="shared" si="0"/>
        <v>-676</v>
      </c>
      <c r="F18" s="27">
        <f t="shared" si="1"/>
        <v>6676</v>
      </c>
      <c r="G18" s="27">
        <f>Сотрудники!F12</f>
        <v>1</v>
      </c>
      <c r="H18" s="27">
        <f t="shared" si="2"/>
        <v>30000</v>
      </c>
      <c r="I18" s="27">
        <f t="shared" si="3"/>
        <v>11200</v>
      </c>
    </row>
  </sheetData>
  <mergeCells count="1">
    <mergeCell ref="C6: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Drop Down 2">
          <controlPr defaultSize="0" autoLine="0" autoPict="0">
            <anchor moveWithCells="1">
              <from>
                <xdr:col>2</xdr:col>
                <xdr:colOff>219075</xdr:colOff>
                <xdr:row>6</xdr:row>
                <xdr:rowOff>114300</xdr:rowOff>
              </from>
              <to>
                <xdr:col>3</xdr:col>
                <xdr:colOff>381000</xdr:colOff>
                <xdr:row>7</xdr:row>
                <xdr:rowOff>123825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"/>
  <sheetViews>
    <sheetView workbookViewId="0">
      <selection activeCell="C7" sqref="C6:C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2:U29"/>
  <sheetViews>
    <sheetView topLeftCell="A4" workbookViewId="0">
      <selection activeCell="L7" sqref="L7"/>
    </sheetView>
  </sheetViews>
  <sheetFormatPr defaultRowHeight="15" x14ac:dyDescent="0.25"/>
  <cols>
    <col min="2" max="2" width="17.28515625" customWidth="1"/>
    <col min="3" max="3" width="27" customWidth="1"/>
    <col min="4" max="4" width="15" customWidth="1"/>
    <col min="5" max="5" width="14.85546875" customWidth="1"/>
    <col min="10" max="10" width="19" customWidth="1"/>
    <col min="11" max="11" width="11.5703125" customWidth="1"/>
    <col min="12" max="12" width="17.42578125" customWidth="1"/>
    <col min="13" max="13" width="11.28515625" customWidth="1"/>
    <col min="14" max="14" width="11.85546875" customWidth="1"/>
    <col min="17" max="17" width="15.5703125" customWidth="1"/>
    <col min="18" max="18" width="16.140625" customWidth="1"/>
  </cols>
  <sheetData>
    <row r="2" spans="2:21" ht="15.75" thickBot="1" x14ac:dyDescent="0.3"/>
    <row r="3" spans="2:21" ht="15.75" thickBot="1" x14ac:dyDescent="0.3">
      <c r="B3" s="45"/>
      <c r="C3" s="46"/>
      <c r="D3" s="46"/>
      <c r="E3" s="47"/>
    </row>
    <row r="4" spans="2:21" ht="15.75" thickBot="1" x14ac:dyDescent="0.3">
      <c r="B4" s="48"/>
      <c r="C4" s="80" t="s">
        <v>54</v>
      </c>
      <c r="D4" s="81"/>
      <c r="E4" s="49"/>
      <c r="J4" s="61" t="s">
        <v>2</v>
      </c>
      <c r="K4" s="61" t="s">
        <v>14</v>
      </c>
      <c r="L4" s="61" t="s">
        <v>2</v>
      </c>
      <c r="M4" s="61" t="s">
        <v>14</v>
      </c>
      <c r="N4" s="62" t="s">
        <v>62</v>
      </c>
    </row>
    <row r="5" spans="2:21" ht="15.75" x14ac:dyDescent="0.25">
      <c r="B5" s="48"/>
      <c r="C5" s="50"/>
      <c r="D5" s="50"/>
      <c r="E5" s="49"/>
      <c r="J5" s="59" t="s">
        <v>7</v>
      </c>
      <c r="K5" s="60">
        <v>215</v>
      </c>
      <c r="L5" s="59" t="s">
        <v>7</v>
      </c>
      <c r="M5" s="60">
        <v>215</v>
      </c>
      <c r="N5" s="60">
        <f t="shared" ref="N5:N10" si="0">K5-M5</f>
        <v>0</v>
      </c>
    </row>
    <row r="6" spans="2:21" ht="15.75" x14ac:dyDescent="0.25">
      <c r="B6" s="48"/>
      <c r="C6" s="27" t="s">
        <v>55</v>
      </c>
      <c r="D6" s="54">
        <v>40096</v>
      </c>
      <c r="E6" s="49"/>
      <c r="J6" s="59" t="s">
        <v>8</v>
      </c>
      <c r="K6" s="60">
        <v>223</v>
      </c>
      <c r="L6" s="59" t="s">
        <v>8</v>
      </c>
      <c r="M6" s="60">
        <v>223</v>
      </c>
      <c r="N6" s="60">
        <f t="shared" si="0"/>
        <v>0</v>
      </c>
    </row>
    <row r="7" spans="2:21" ht="15.75" x14ac:dyDescent="0.25">
      <c r="B7" s="48"/>
      <c r="C7" s="27" t="s">
        <v>56</v>
      </c>
      <c r="D7" s="54">
        <v>40106</v>
      </c>
      <c r="E7" s="49"/>
      <c r="J7" s="59" t="s">
        <v>9</v>
      </c>
      <c r="K7" s="60">
        <v>278</v>
      </c>
      <c r="L7" s="59" t="s">
        <v>9</v>
      </c>
      <c r="M7" s="60">
        <v>278</v>
      </c>
      <c r="N7" s="60">
        <f t="shared" si="0"/>
        <v>0</v>
      </c>
      <c r="Q7" s="55" t="s">
        <v>13</v>
      </c>
      <c r="R7" s="55" t="s">
        <v>13</v>
      </c>
    </row>
    <row r="8" spans="2:21" ht="16.5" thickBot="1" x14ac:dyDescent="0.3">
      <c r="B8" s="51"/>
      <c r="C8" s="52"/>
      <c r="D8" s="52"/>
      <c r="E8" s="53"/>
      <c r="J8" s="59" t="s">
        <v>10</v>
      </c>
      <c r="K8" s="60">
        <v>302</v>
      </c>
      <c r="L8" s="59" t="s">
        <v>10</v>
      </c>
      <c r="M8" s="60">
        <v>302</v>
      </c>
      <c r="N8" s="60">
        <f t="shared" si="0"/>
        <v>0</v>
      </c>
      <c r="Q8" s="7" t="str">
        <f>"&gt;="&amp;D6</f>
        <v>&gt;=40096</v>
      </c>
      <c r="R8" s="7" t="str">
        <f>"&lt;="&amp;D7</f>
        <v>&lt;=40106</v>
      </c>
    </row>
    <row r="9" spans="2:21" ht="16.5" thickBot="1" x14ac:dyDescent="0.3">
      <c r="B9" s="44"/>
      <c r="C9" s="44"/>
      <c r="D9" s="44"/>
      <c r="E9" s="44"/>
      <c r="J9" s="59" t="s">
        <v>11</v>
      </c>
      <c r="K9" s="60">
        <v>336</v>
      </c>
      <c r="L9" s="59" t="s">
        <v>11</v>
      </c>
      <c r="M9" s="60">
        <v>336</v>
      </c>
      <c r="N9" s="60">
        <f t="shared" si="0"/>
        <v>0</v>
      </c>
    </row>
    <row r="10" spans="2:21" ht="15.75" x14ac:dyDescent="0.25">
      <c r="B10" s="45"/>
      <c r="C10" s="46"/>
      <c r="D10" s="46"/>
      <c r="E10" s="47"/>
      <c r="J10" s="59" t="s">
        <v>12</v>
      </c>
      <c r="K10" s="60">
        <v>269</v>
      </c>
      <c r="L10" s="59" t="s">
        <v>12</v>
      </c>
      <c r="M10" s="60">
        <v>269</v>
      </c>
      <c r="N10" s="60">
        <f t="shared" si="0"/>
        <v>0</v>
      </c>
    </row>
    <row r="11" spans="2:21" x14ac:dyDescent="0.25">
      <c r="B11" s="48"/>
      <c r="C11" s="27"/>
      <c r="D11" s="27">
        <f>DSUM(Данные_продаж,Продажи!G2,Q7:R8)</f>
        <v>201965</v>
      </c>
      <c r="E11" s="49"/>
      <c r="U11" t="s">
        <v>57</v>
      </c>
    </row>
    <row r="12" spans="2:21" ht="15.75" thickBot="1" x14ac:dyDescent="0.3">
      <c r="B12" s="51"/>
      <c r="C12" s="52"/>
      <c r="D12" s="52"/>
      <c r="E12" s="53"/>
      <c r="U12" t="s">
        <v>58</v>
      </c>
    </row>
    <row r="13" spans="2:21" x14ac:dyDescent="0.25">
      <c r="U13" t="s">
        <v>59</v>
      </c>
    </row>
    <row r="14" spans="2:21" x14ac:dyDescent="0.25">
      <c r="U14" t="s">
        <v>60</v>
      </c>
    </row>
    <row r="15" spans="2:21" x14ac:dyDescent="0.25">
      <c r="U15">
        <v>1</v>
      </c>
    </row>
    <row r="16" spans="2:21" x14ac:dyDescent="0.25">
      <c r="H16" s="58"/>
    </row>
    <row r="21" spans="2:3" ht="15" customHeight="1" x14ac:dyDescent="0.25"/>
    <row r="22" spans="2:3" x14ac:dyDescent="0.25">
      <c r="B22" s="63" t="s">
        <v>63</v>
      </c>
      <c r="C22" t="s">
        <v>65</v>
      </c>
    </row>
    <row r="23" spans="2:3" x14ac:dyDescent="0.25">
      <c r="B23" s="57" t="s">
        <v>10</v>
      </c>
      <c r="C23" s="64">
        <v>302</v>
      </c>
    </row>
    <row r="24" spans="2:3" x14ac:dyDescent="0.25">
      <c r="B24" s="57" t="s">
        <v>9</v>
      </c>
      <c r="C24" s="64">
        <v>278</v>
      </c>
    </row>
    <row r="25" spans="2:3" x14ac:dyDescent="0.25">
      <c r="B25" s="57" t="s">
        <v>11</v>
      </c>
      <c r="C25" s="64">
        <v>336</v>
      </c>
    </row>
    <row r="26" spans="2:3" x14ac:dyDescent="0.25">
      <c r="B26" s="57" t="s">
        <v>12</v>
      </c>
      <c r="C26" s="64">
        <v>269</v>
      </c>
    </row>
    <row r="27" spans="2:3" x14ac:dyDescent="0.25">
      <c r="B27" s="57" t="s">
        <v>8</v>
      </c>
      <c r="C27" s="64">
        <v>223</v>
      </c>
    </row>
    <row r="28" spans="2:3" x14ac:dyDescent="0.25">
      <c r="B28" s="57" t="s">
        <v>7</v>
      </c>
      <c r="C28" s="64">
        <v>215</v>
      </c>
    </row>
    <row r="29" spans="2:3" x14ac:dyDescent="0.25">
      <c r="B29" s="57" t="s">
        <v>64</v>
      </c>
      <c r="C29" s="64">
        <v>1623</v>
      </c>
    </row>
  </sheetData>
  <dataConsolidate topLabels="1">
    <dataRefs count="1">
      <dataRef name="Продажа" r:id="rId2"/>
    </dataRefs>
  </dataConsolidate>
  <mergeCells count="1">
    <mergeCell ref="C4:D4"/>
  </mergeCell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4" r:id="rId5" name="CommandButton5">
          <controlPr defaultSize="0" autoLine="0" r:id="rId6">
            <anchor moveWithCells="1">
              <from>
                <xdr:col>1</xdr:col>
                <xdr:colOff>0</xdr:colOff>
                <xdr:row>17</xdr:row>
                <xdr:rowOff>171450</xdr:rowOff>
              </from>
              <to>
                <xdr:col>1</xdr:col>
                <xdr:colOff>1143000</xdr:colOff>
                <xdr:row>19</xdr:row>
                <xdr:rowOff>76200</xdr:rowOff>
              </to>
            </anchor>
          </controlPr>
        </control>
      </mc:Choice>
      <mc:Fallback>
        <control shapeId="9224" r:id="rId5" name="CommandButton5"/>
      </mc:Fallback>
    </mc:AlternateContent>
    <mc:AlternateContent xmlns:mc="http://schemas.openxmlformats.org/markup-compatibility/2006">
      <mc:Choice Requires="x14">
        <control shapeId="9223" r:id="rId7" name="CommandButton4">
          <controlPr defaultSize="0" autoLine="0" r:id="rId8">
            <anchor moveWithCells="1">
              <from>
                <xdr:col>10</xdr:col>
                <xdr:colOff>276225</xdr:colOff>
                <xdr:row>1</xdr:row>
                <xdr:rowOff>9525</xdr:rowOff>
              </from>
              <to>
                <xdr:col>11</xdr:col>
                <xdr:colOff>695325</xdr:colOff>
                <xdr:row>2</xdr:row>
                <xdr:rowOff>76200</xdr:rowOff>
              </to>
            </anchor>
          </controlPr>
        </control>
      </mc:Choice>
      <mc:Fallback>
        <control shapeId="9223" r:id="rId7" name="CommandButton4"/>
      </mc:Fallback>
    </mc:AlternateContent>
    <mc:AlternateContent xmlns:mc="http://schemas.openxmlformats.org/markup-compatibility/2006">
      <mc:Choice Requires="x14">
        <control shapeId="9217" r:id="rId9" name="CommandButton1">
          <controlPr defaultSize="0" autoLine="0" r:id="rId10">
            <anchor moveWithCells="1">
              <from>
                <xdr:col>6</xdr:col>
                <xdr:colOff>9525</xdr:colOff>
                <xdr:row>2</xdr:row>
                <xdr:rowOff>9525</xdr:rowOff>
              </from>
              <to>
                <xdr:col>8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9217" r:id="rId9" name="CommandButton1"/>
      </mc:Fallback>
    </mc:AlternateContent>
    <mc:AlternateContent xmlns:mc="http://schemas.openxmlformats.org/markup-compatibility/2006">
      <mc:Choice Requires="x14">
        <control shapeId="9222" r:id="rId11" name="CommandButton3">
          <controlPr defaultSize="0" autoLine="0" r:id="rId12">
            <anchor moveWithCells="1">
              <from>
                <xdr:col>2</xdr:col>
                <xdr:colOff>152400</xdr:colOff>
                <xdr:row>17</xdr:row>
                <xdr:rowOff>161925</xdr:rowOff>
              </from>
              <to>
                <xdr:col>2</xdr:col>
                <xdr:colOff>1333500</xdr:colOff>
                <xdr:row>19</xdr:row>
                <xdr:rowOff>66675</xdr:rowOff>
              </to>
            </anchor>
          </controlPr>
        </control>
      </mc:Choice>
      <mc:Fallback>
        <control shapeId="9222" r:id="rId11" name="CommandButton3"/>
      </mc:Fallback>
    </mc:AlternateContent>
    <mc:AlternateContent xmlns:mc="http://schemas.openxmlformats.org/markup-compatibility/2006">
      <mc:Choice Requires="x14">
        <control shapeId="9218" r:id="rId13" name="Drop Down 2">
          <controlPr defaultSize="0" autoLine="0" autoPict="0">
            <anchor moveWithCells="1">
              <from>
                <xdr:col>2</xdr:col>
                <xdr:colOff>9525</xdr:colOff>
                <xdr:row>9</xdr:row>
                <xdr:rowOff>171450</xdr:rowOff>
              </from>
              <to>
                <xdr:col>2</xdr:col>
                <xdr:colOff>1362075</xdr:colOff>
                <xdr:row>11</xdr:row>
                <xdr:rowOff>9525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C4:F16"/>
  <sheetViews>
    <sheetView workbookViewId="0">
      <selection activeCell="G9" sqref="G9"/>
    </sheetView>
  </sheetViews>
  <sheetFormatPr defaultRowHeight="15" x14ac:dyDescent="0.25"/>
  <cols>
    <col min="3" max="3" width="11.140625" customWidth="1"/>
    <col min="4" max="4" width="15.7109375" customWidth="1"/>
    <col min="5" max="5" width="13.7109375" customWidth="1"/>
    <col min="6" max="6" width="9" customWidth="1"/>
  </cols>
  <sheetData>
    <row r="4" spans="3:6" x14ac:dyDescent="0.25">
      <c r="C4" s="72" t="s">
        <v>1</v>
      </c>
      <c r="D4" s="72" t="s">
        <v>6</v>
      </c>
      <c r="E4" s="72" t="s">
        <v>4</v>
      </c>
    </row>
    <row r="5" spans="3:6" ht="18.75" x14ac:dyDescent="0.3">
      <c r="C5" s="1">
        <v>1</v>
      </c>
      <c r="D5" s="1">
        <v>1</v>
      </c>
      <c r="E5" s="1">
        <v>100</v>
      </c>
      <c r="F5" s="65"/>
    </row>
    <row r="6" spans="3:6" ht="18.75" x14ac:dyDescent="0.3">
      <c r="C6" s="1">
        <v>2</v>
      </c>
      <c r="D6" s="1">
        <v>1</v>
      </c>
      <c r="E6" s="1">
        <v>120</v>
      </c>
      <c r="F6" s="65"/>
    </row>
    <row r="7" spans="3:6" ht="18.75" x14ac:dyDescent="0.3">
      <c r="C7" s="1">
        <v>3</v>
      </c>
      <c r="D7" s="1">
        <v>1</v>
      </c>
      <c r="E7" s="1">
        <v>120</v>
      </c>
      <c r="F7" s="65"/>
    </row>
    <row r="8" spans="3:6" ht="18.75" x14ac:dyDescent="0.3">
      <c r="C8" s="1">
        <v>2</v>
      </c>
      <c r="D8" s="1">
        <v>2</v>
      </c>
      <c r="E8" s="1">
        <v>110</v>
      </c>
      <c r="F8" s="65"/>
    </row>
    <row r="9" spans="3:6" ht="18.75" x14ac:dyDescent="0.3">
      <c r="C9" s="1">
        <v>3</v>
      </c>
      <c r="D9" s="1">
        <v>2</v>
      </c>
      <c r="E9" s="1">
        <v>150</v>
      </c>
      <c r="F9" s="65"/>
    </row>
    <row r="10" spans="3:6" ht="18.75" x14ac:dyDescent="0.3">
      <c r="C10" s="1">
        <v>4</v>
      </c>
      <c r="D10" s="1">
        <v>3</v>
      </c>
      <c r="E10" s="1">
        <v>250</v>
      </c>
      <c r="F10" s="65"/>
    </row>
    <row r="11" spans="3:6" ht="18.75" x14ac:dyDescent="0.3">
      <c r="C11" s="1">
        <v>1</v>
      </c>
      <c r="D11" s="1">
        <v>4</v>
      </c>
      <c r="E11" s="1">
        <v>110</v>
      </c>
      <c r="F11" s="65"/>
    </row>
    <row r="12" spans="3:6" ht="18.75" x14ac:dyDescent="0.3">
      <c r="C12" s="1">
        <v>2</v>
      </c>
      <c r="D12" s="1">
        <v>4</v>
      </c>
      <c r="E12" s="1">
        <v>130</v>
      </c>
      <c r="F12" s="65"/>
    </row>
    <row r="13" spans="3:6" ht="18.75" x14ac:dyDescent="0.3">
      <c r="C13" s="1">
        <v>3</v>
      </c>
      <c r="D13" s="1">
        <v>4</v>
      </c>
      <c r="E13" s="1">
        <v>140</v>
      </c>
      <c r="F13" s="65"/>
    </row>
    <row r="14" spans="3:6" ht="18.75" x14ac:dyDescent="0.3">
      <c r="C14" s="1">
        <v>4</v>
      </c>
      <c r="D14" s="1">
        <v>4</v>
      </c>
      <c r="E14" s="1">
        <v>300</v>
      </c>
      <c r="F14" s="65"/>
    </row>
    <row r="15" spans="3:6" ht="18.75" x14ac:dyDescent="0.3">
      <c r="C15" s="1">
        <v>5</v>
      </c>
      <c r="D15" s="1">
        <v>4</v>
      </c>
      <c r="E15" s="1">
        <v>400</v>
      </c>
      <c r="F15" s="65"/>
    </row>
    <row r="16" spans="3:6" ht="18.75" x14ac:dyDescent="0.3">
      <c r="C16" s="1">
        <v>6</v>
      </c>
      <c r="D16" s="1">
        <v>4</v>
      </c>
      <c r="E16" s="1">
        <v>500</v>
      </c>
      <c r="F16" s="6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C4:F16"/>
  <sheetViews>
    <sheetView workbookViewId="0">
      <selection activeCell="F9" sqref="F9"/>
    </sheetView>
  </sheetViews>
  <sheetFormatPr defaultRowHeight="15" x14ac:dyDescent="0.25"/>
  <cols>
    <col min="3" max="3" width="13.42578125" customWidth="1"/>
    <col min="4" max="4" width="15.28515625" customWidth="1"/>
    <col min="5" max="5" width="12.140625" customWidth="1"/>
    <col min="6" max="6" width="12.28515625" customWidth="1"/>
  </cols>
  <sheetData>
    <row r="4" spans="3:6" x14ac:dyDescent="0.25">
      <c r="C4" s="71" t="s">
        <v>1</v>
      </c>
      <c r="D4" s="71" t="s">
        <v>6</v>
      </c>
      <c r="E4" s="71" t="s">
        <v>14</v>
      </c>
      <c r="F4" s="71" t="s">
        <v>16</v>
      </c>
    </row>
    <row r="5" spans="3:6" x14ac:dyDescent="0.25">
      <c r="C5" s="1">
        <v>1</v>
      </c>
      <c r="D5" s="1">
        <v>1</v>
      </c>
      <c r="E5" s="1">
        <v>50</v>
      </c>
      <c r="F5" s="1">
        <f>E5*ЦенаПоставки(C5,D5)</f>
        <v>5000</v>
      </c>
    </row>
    <row r="6" spans="3:6" x14ac:dyDescent="0.25">
      <c r="C6" s="1">
        <v>2</v>
      </c>
      <c r="D6" s="1">
        <v>1</v>
      </c>
      <c r="E6" s="1">
        <v>40</v>
      </c>
      <c r="F6" s="1">
        <f t="shared" ref="F6:F16" si="0">E6*ЦенаПоставки(C6,D6)</f>
        <v>4800</v>
      </c>
    </row>
    <row r="7" spans="3:6" x14ac:dyDescent="0.25">
      <c r="C7" s="1">
        <v>3</v>
      </c>
      <c r="D7" s="1">
        <v>1</v>
      </c>
      <c r="E7" s="1">
        <v>10</v>
      </c>
      <c r="F7" s="1">
        <f t="shared" si="0"/>
        <v>1200</v>
      </c>
    </row>
    <row r="8" spans="3:6" x14ac:dyDescent="0.25">
      <c r="C8" s="1">
        <v>2</v>
      </c>
      <c r="D8" s="1">
        <v>2</v>
      </c>
      <c r="E8" s="1">
        <v>20</v>
      </c>
      <c r="F8" s="1">
        <f t="shared" si="0"/>
        <v>2200</v>
      </c>
    </row>
    <row r="9" spans="3:6" x14ac:dyDescent="0.25">
      <c r="C9" s="1">
        <v>3</v>
      </c>
      <c r="D9" s="1">
        <v>2</v>
      </c>
      <c r="E9" s="1">
        <v>70</v>
      </c>
      <c r="F9" s="1">
        <f t="shared" si="0"/>
        <v>10500</v>
      </c>
    </row>
    <row r="10" spans="3:6" x14ac:dyDescent="0.25">
      <c r="C10" s="1">
        <v>4</v>
      </c>
      <c r="D10" s="1">
        <v>3</v>
      </c>
      <c r="E10" s="1">
        <v>55</v>
      </c>
      <c r="F10" s="1">
        <f t="shared" si="0"/>
        <v>13750</v>
      </c>
    </row>
    <row r="11" spans="3:6" x14ac:dyDescent="0.25">
      <c r="C11" s="1">
        <v>1</v>
      </c>
      <c r="D11" s="1">
        <v>4</v>
      </c>
      <c r="E11" s="1">
        <v>30</v>
      </c>
      <c r="F11" s="1">
        <f t="shared" si="0"/>
        <v>3300</v>
      </c>
    </row>
    <row r="12" spans="3:6" x14ac:dyDescent="0.25">
      <c r="C12" s="1">
        <v>2</v>
      </c>
      <c r="D12" s="1">
        <v>4</v>
      </c>
      <c r="E12" s="1">
        <v>40</v>
      </c>
      <c r="F12" s="1">
        <f t="shared" si="0"/>
        <v>5200</v>
      </c>
    </row>
    <row r="13" spans="3:6" x14ac:dyDescent="0.25">
      <c r="C13" s="1">
        <v>3</v>
      </c>
      <c r="D13" s="1">
        <v>4</v>
      </c>
      <c r="E13" s="1">
        <v>80</v>
      </c>
      <c r="F13" s="1">
        <f t="shared" si="0"/>
        <v>11200</v>
      </c>
    </row>
    <row r="14" spans="3:6" x14ac:dyDescent="0.25">
      <c r="C14" s="1">
        <v>4</v>
      </c>
      <c r="D14" s="1">
        <v>4</v>
      </c>
      <c r="E14" s="1">
        <v>30</v>
      </c>
      <c r="F14" s="1">
        <f t="shared" si="0"/>
        <v>9000</v>
      </c>
    </row>
    <row r="15" spans="3:6" x14ac:dyDescent="0.25">
      <c r="C15" s="1">
        <v>5</v>
      </c>
      <c r="D15" s="1">
        <v>4</v>
      </c>
      <c r="E15" s="1">
        <v>20</v>
      </c>
      <c r="F15" s="1">
        <f t="shared" si="0"/>
        <v>8000</v>
      </c>
    </row>
    <row r="16" spans="3:6" x14ac:dyDescent="0.25">
      <c r="C16" s="1">
        <v>6</v>
      </c>
      <c r="D16" s="1">
        <v>4</v>
      </c>
      <c r="E16" s="1">
        <v>20</v>
      </c>
      <c r="F16" s="1">
        <f t="shared" si="0"/>
        <v>10000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C3:H10"/>
  <sheetViews>
    <sheetView workbookViewId="0">
      <selection activeCell="H7" sqref="H7"/>
    </sheetView>
  </sheetViews>
  <sheetFormatPr defaultRowHeight="15" x14ac:dyDescent="0.25"/>
  <cols>
    <col min="3" max="3" width="10.7109375" customWidth="1"/>
    <col min="4" max="4" width="12.7109375" bestFit="1" customWidth="1"/>
    <col min="5" max="5" width="13.5703125" customWidth="1"/>
    <col min="6" max="6" width="18.28515625" bestFit="1" customWidth="1"/>
    <col min="7" max="7" width="14.140625" bestFit="1" customWidth="1"/>
    <col min="8" max="8" width="14.140625" customWidth="1"/>
  </cols>
  <sheetData>
    <row r="3" spans="3:8" x14ac:dyDescent="0.25">
      <c r="G3" s="74">
        <v>40889</v>
      </c>
    </row>
    <row r="5" spans="3:8" x14ac:dyDescent="0.25">
      <c r="C5" s="73" t="s">
        <v>73</v>
      </c>
      <c r="D5" s="73" t="s">
        <v>74</v>
      </c>
      <c r="E5" s="73" t="s">
        <v>75</v>
      </c>
      <c r="F5" s="73" t="s">
        <v>76</v>
      </c>
      <c r="G5" s="73" t="s">
        <v>77</v>
      </c>
      <c r="H5" s="73" t="s">
        <v>78</v>
      </c>
    </row>
    <row r="6" spans="3:8" x14ac:dyDescent="0.25">
      <c r="C6" s="27">
        <v>1</v>
      </c>
      <c r="D6" s="54">
        <v>40852</v>
      </c>
      <c r="E6" s="27" t="s">
        <v>79</v>
      </c>
      <c r="F6" s="54">
        <v>40882</v>
      </c>
      <c r="G6" s="27"/>
      <c r="H6" s="27" t="str">
        <f>IF(AND(G6&lt;=F6,G6&lt;&gt;""),"Выполнено",IF(G6&gt;F6,"Выполнено с опозданием",IF(AND(G6="",F6&gt;$G$3),"Выполняется","Не выполнено")))</f>
        <v>Не выполнено</v>
      </c>
    </row>
    <row r="7" spans="3:8" x14ac:dyDescent="0.25">
      <c r="C7" s="27">
        <v>2</v>
      </c>
      <c r="D7" s="54">
        <v>40852</v>
      </c>
      <c r="E7" s="27" t="s">
        <v>80</v>
      </c>
      <c r="F7" s="54">
        <v>40882</v>
      </c>
      <c r="G7" s="54">
        <v>40874</v>
      </c>
      <c r="H7" s="27" t="str">
        <f>IF(AND(G7&lt;=F7,G7&lt;&gt;""),"Выполнено",IF(G7&gt;F7,"Выполнено с опозданием",IF(AND(G7="",F7&gt;$G$3),"Выполняется","Не выполнено")))</f>
        <v>Выполнено</v>
      </c>
    </row>
    <row r="8" spans="3:8" ht="30" x14ac:dyDescent="0.25">
      <c r="C8" s="27">
        <v>3</v>
      </c>
      <c r="D8" s="54">
        <v>40853</v>
      </c>
      <c r="E8" s="27" t="s">
        <v>81</v>
      </c>
      <c r="F8" s="54">
        <v>40883</v>
      </c>
      <c r="G8" s="54">
        <v>40887</v>
      </c>
      <c r="H8" s="70" t="str">
        <f>IF(AND(G8&lt;=F8,G8&lt;&gt;""),"Выполнено",IF(G8&gt;F8,"Выполнено с опозданием",IF(AND(G8="",F8&gt;$G$3),"Выполняется","Не выполнено")))</f>
        <v>Выполнено с опозданием</v>
      </c>
    </row>
    <row r="9" spans="3:8" x14ac:dyDescent="0.25">
      <c r="C9" s="27">
        <v>4</v>
      </c>
      <c r="D9" s="54">
        <v>40861</v>
      </c>
      <c r="E9" s="27" t="s">
        <v>79</v>
      </c>
      <c r="F9" s="54">
        <v>40891</v>
      </c>
      <c r="G9" s="27"/>
      <c r="H9" s="27" t="str">
        <f>IF(AND(G9&lt;=F9,G9&lt;&gt;""),"Выполнено",IF(G9&gt;F9,"Выполнено с опозданием",IF(AND(G9="",F9&gt;$G$3),"Выполняется","Не выполнено")))</f>
        <v>Выполняется</v>
      </c>
    </row>
    <row r="10" spans="3:8" x14ac:dyDescent="0.25">
      <c r="C10" s="27">
        <v>5</v>
      </c>
      <c r="D10" s="54">
        <v>40862</v>
      </c>
      <c r="E10" s="27" t="s">
        <v>82</v>
      </c>
      <c r="F10" s="54">
        <v>40892</v>
      </c>
      <c r="G10" s="27"/>
      <c r="H10" s="27" t="str">
        <f>IF(AND(G10&lt;=F10,G10&lt;&gt;""),"Выполнено",IF(G10&gt;F10,"Выполнено с опозданием",IF(AND(G10="",F10&gt;$G$3),"Выполняется","Не выполнено")))</f>
        <v>Выполняется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5</vt:i4>
      </vt:variant>
    </vt:vector>
  </HeadingPairs>
  <TitlesOfParts>
    <vt:vector size="18" baseType="lpstr">
      <vt:lpstr>Заставка</vt:lpstr>
      <vt:lpstr>Меню</vt:lpstr>
      <vt:lpstr>Товары</vt:lpstr>
      <vt:lpstr>Продажи</vt:lpstr>
      <vt:lpstr>Поставки</vt:lpstr>
      <vt:lpstr>Поставщики</vt:lpstr>
      <vt:lpstr>Сотрудники</vt:lpstr>
      <vt:lpstr>Начисление зп</vt:lpstr>
      <vt:lpstr>Система доступа</vt:lpstr>
      <vt:lpstr>Отчеты</vt:lpstr>
      <vt:lpstr>Прайс-лист</vt:lpstr>
      <vt:lpstr>План закупок</vt:lpstr>
      <vt:lpstr>Данные</vt:lpstr>
      <vt:lpstr>Данные_продаж</vt:lpstr>
      <vt:lpstr>Продажи!Критерии</vt:lpstr>
      <vt:lpstr>Поставка</vt:lpstr>
      <vt:lpstr>Продажа</vt:lpstr>
      <vt:lpstr>Справочник_товары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2023-02-14T13:11:39Z</dcterms:modified>
</cp:coreProperties>
</file>