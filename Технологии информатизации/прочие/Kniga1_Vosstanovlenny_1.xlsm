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0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Kazak\Desktop\CH_GU\Технологии информатизации\"/>
    </mc:Choice>
  </mc:AlternateContent>
  <bookViews>
    <workbookView xWindow="0" yWindow="0" windowWidth="8700" windowHeight="5472" tabRatio="847" activeTab="1"/>
  </bookViews>
  <sheets>
    <sheet name="Заставка" sheetId="1" r:id="rId1"/>
    <sheet name="Меню" sheetId="2" r:id="rId2"/>
    <sheet name="Товары" sheetId="3" r:id="rId3"/>
    <sheet name="Продажи" sheetId="4" r:id="rId4"/>
    <sheet name="Поставщики" sheetId="5" r:id="rId5"/>
    <sheet name="Поставки" sheetId="6" r:id="rId6"/>
    <sheet name="Сотрудники" sheetId="7" r:id="rId7"/>
    <sheet name="Начисление зп" sheetId="8" r:id="rId8"/>
    <sheet name="Отчеты" sheetId="9" r:id="rId9"/>
    <sheet name="Система доступа" sheetId="10" r:id="rId10"/>
  </sheets>
  <externalReferences>
    <externalReference r:id="rId11"/>
  </externalReferences>
  <definedNames>
    <definedName name="№_заказа">Продажи!$D$11</definedName>
    <definedName name="имя">[1]Товары!$B$3:$H$9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4" l="1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K111" i="4" l="1"/>
  <c r="I111" i="4"/>
  <c r="J111" i="4" s="1"/>
  <c r="G111" i="4"/>
  <c r="K61" i="4"/>
  <c r="I61" i="4"/>
  <c r="J61" i="4" s="1"/>
  <c r="G61" i="4"/>
  <c r="K218" i="4"/>
  <c r="I218" i="4"/>
  <c r="J218" i="4" s="1"/>
  <c r="G218" i="4"/>
  <c r="K217" i="4"/>
  <c r="I217" i="4"/>
  <c r="J217" i="4" s="1"/>
  <c r="G217" i="4"/>
  <c r="K216" i="4"/>
  <c r="I216" i="4"/>
  <c r="J216" i="4" s="1"/>
  <c r="G216" i="4"/>
  <c r="K110" i="4"/>
  <c r="I110" i="4"/>
  <c r="J110" i="4" s="1"/>
  <c r="G110" i="4"/>
  <c r="K109" i="4"/>
  <c r="I109" i="4"/>
  <c r="J109" i="4" s="1"/>
  <c r="G109" i="4"/>
  <c r="K108" i="4"/>
  <c r="I108" i="4"/>
  <c r="J108" i="4" s="1"/>
  <c r="G108" i="4"/>
  <c r="K270" i="4"/>
  <c r="I270" i="4"/>
  <c r="J270" i="4" s="1"/>
  <c r="G270" i="4"/>
  <c r="K269" i="4"/>
  <c r="I269" i="4"/>
  <c r="J269" i="4" s="1"/>
  <c r="G269" i="4"/>
  <c r="K60" i="4"/>
  <c r="I60" i="4"/>
  <c r="J60" i="4" s="1"/>
  <c r="G60" i="4"/>
  <c r="K59" i="4"/>
  <c r="I59" i="4"/>
  <c r="J59" i="4" s="1"/>
  <c r="G59" i="4"/>
  <c r="K58" i="4"/>
  <c r="I58" i="4"/>
  <c r="J58" i="4" s="1"/>
  <c r="G58" i="4"/>
  <c r="K215" i="4"/>
  <c r="I215" i="4"/>
  <c r="J215" i="4" s="1"/>
  <c r="G215" i="4"/>
  <c r="K214" i="4"/>
  <c r="I214" i="4"/>
  <c r="J214" i="4" s="1"/>
  <c r="G214" i="4"/>
  <c r="K321" i="4"/>
  <c r="I321" i="4"/>
  <c r="J321" i="4" s="1"/>
  <c r="G321" i="4"/>
  <c r="K107" i="4"/>
  <c r="I107" i="4"/>
  <c r="J107" i="4" s="1"/>
  <c r="G107" i="4"/>
  <c r="K106" i="4"/>
  <c r="I106" i="4"/>
  <c r="J106" i="4" s="1"/>
  <c r="G106" i="4"/>
  <c r="K268" i="4"/>
  <c r="I268" i="4"/>
  <c r="J268" i="4" s="1"/>
  <c r="G268" i="4"/>
  <c r="K267" i="4"/>
  <c r="I267" i="4"/>
  <c r="J267" i="4" s="1"/>
  <c r="G267" i="4"/>
  <c r="K57" i="4"/>
  <c r="I57" i="4"/>
  <c r="J57" i="4" s="1"/>
  <c r="G57" i="4"/>
  <c r="K56" i="4"/>
  <c r="I56" i="4"/>
  <c r="J56" i="4" s="1"/>
  <c r="G56" i="4"/>
  <c r="K55" i="4"/>
  <c r="I55" i="4"/>
  <c r="J55" i="4" s="1"/>
  <c r="G55" i="4"/>
  <c r="K54" i="4"/>
  <c r="I54" i="4"/>
  <c r="J54" i="4" s="1"/>
  <c r="G54" i="4"/>
  <c r="K213" i="4"/>
  <c r="I213" i="4"/>
  <c r="J213" i="4" s="1"/>
  <c r="G213" i="4"/>
  <c r="K212" i="4"/>
  <c r="I212" i="4"/>
  <c r="J212" i="4" s="1"/>
  <c r="G212" i="4"/>
  <c r="K320" i="4"/>
  <c r="I320" i="4"/>
  <c r="J320" i="4" s="1"/>
  <c r="G320" i="4"/>
  <c r="K319" i="4"/>
  <c r="I319" i="4"/>
  <c r="J319" i="4" s="1"/>
  <c r="G319" i="4"/>
  <c r="K318" i="4"/>
  <c r="I318" i="4"/>
  <c r="J318" i="4" s="1"/>
  <c r="G318" i="4"/>
  <c r="K317" i="4"/>
  <c r="I317" i="4"/>
  <c r="J317" i="4" s="1"/>
  <c r="G317" i="4"/>
  <c r="K105" i="4"/>
  <c r="I105" i="4"/>
  <c r="J105" i="4" s="1"/>
  <c r="G105" i="4"/>
  <c r="K104" i="4"/>
  <c r="I104" i="4"/>
  <c r="J104" i="4" s="1"/>
  <c r="G104" i="4"/>
  <c r="K266" i="4"/>
  <c r="I266" i="4"/>
  <c r="J266" i="4" s="1"/>
  <c r="G266" i="4"/>
  <c r="K265" i="4"/>
  <c r="I265" i="4"/>
  <c r="J265" i="4" s="1"/>
  <c r="G265" i="4"/>
  <c r="K264" i="4"/>
  <c r="I264" i="4"/>
  <c r="J264" i="4" s="1"/>
  <c r="G264" i="4"/>
  <c r="K53" i="4"/>
  <c r="I53" i="4"/>
  <c r="J53" i="4" s="1"/>
  <c r="G53" i="4"/>
  <c r="K52" i="4"/>
  <c r="I52" i="4"/>
  <c r="J52" i="4" s="1"/>
  <c r="G52" i="4"/>
  <c r="K153" i="4"/>
  <c r="I153" i="4"/>
  <c r="J153" i="4" s="1"/>
  <c r="G153" i="4"/>
  <c r="K211" i="4"/>
  <c r="I211" i="4"/>
  <c r="J211" i="4" s="1"/>
  <c r="G211" i="4"/>
  <c r="K210" i="4"/>
  <c r="I210" i="4"/>
  <c r="J210" i="4" s="1"/>
  <c r="G210" i="4"/>
  <c r="K209" i="4"/>
  <c r="I209" i="4"/>
  <c r="J209" i="4" s="1"/>
  <c r="G209" i="4"/>
  <c r="K208" i="4"/>
  <c r="I208" i="4"/>
  <c r="J208" i="4" s="1"/>
  <c r="G208" i="4"/>
  <c r="K207" i="4"/>
  <c r="I207" i="4"/>
  <c r="J207" i="4" s="1"/>
  <c r="G207" i="4"/>
  <c r="K263" i="4"/>
  <c r="I263" i="4"/>
  <c r="J263" i="4" s="1"/>
  <c r="G263" i="4"/>
  <c r="K51" i="4"/>
  <c r="I51" i="4"/>
  <c r="J51" i="4" s="1"/>
  <c r="G51" i="4"/>
  <c r="K50" i="4"/>
  <c r="I50" i="4"/>
  <c r="J50" i="4" s="1"/>
  <c r="G50" i="4"/>
  <c r="K152" i="4"/>
  <c r="I152" i="4"/>
  <c r="J152" i="4" s="1"/>
  <c r="G152" i="4"/>
  <c r="K151" i="4"/>
  <c r="I151" i="4"/>
  <c r="J151" i="4" s="1"/>
  <c r="G151" i="4"/>
  <c r="K150" i="4"/>
  <c r="I150" i="4"/>
  <c r="J150" i="4" s="1"/>
  <c r="G150" i="4"/>
  <c r="K206" i="4"/>
  <c r="I206" i="4"/>
  <c r="J206" i="4" s="1"/>
  <c r="G206" i="4"/>
  <c r="K205" i="4"/>
  <c r="I205" i="4"/>
  <c r="J205" i="4" s="1"/>
  <c r="G205" i="4"/>
  <c r="K316" i="4"/>
  <c r="I316" i="4"/>
  <c r="J316" i="4" s="1"/>
  <c r="G316" i="4"/>
  <c r="K315" i="4"/>
  <c r="I315" i="4"/>
  <c r="J315" i="4" s="1"/>
  <c r="G315" i="4"/>
  <c r="K314" i="4"/>
  <c r="I314" i="4"/>
  <c r="J314" i="4" s="1"/>
  <c r="G314" i="4"/>
  <c r="K262" i="4"/>
  <c r="I262" i="4"/>
  <c r="J262" i="4" s="1"/>
  <c r="G262" i="4"/>
  <c r="K49" i="4"/>
  <c r="I49" i="4"/>
  <c r="J49" i="4" s="1"/>
  <c r="G49" i="4"/>
  <c r="K149" i="4"/>
  <c r="I149" i="4"/>
  <c r="J149" i="4" s="1"/>
  <c r="G149" i="4"/>
  <c r="K204" i="4"/>
  <c r="I204" i="4"/>
  <c r="J204" i="4" s="1"/>
  <c r="G204" i="4"/>
  <c r="K203" i="4"/>
  <c r="I203" i="4"/>
  <c r="J203" i="4" s="1"/>
  <c r="G203" i="4"/>
  <c r="K202" i="4"/>
  <c r="I202" i="4"/>
  <c r="J202" i="4" s="1"/>
  <c r="G202" i="4"/>
  <c r="K313" i="4"/>
  <c r="I313" i="4"/>
  <c r="J313" i="4" s="1"/>
  <c r="G313" i="4"/>
  <c r="K103" i="4"/>
  <c r="I103" i="4"/>
  <c r="J103" i="4" s="1"/>
  <c r="G103" i="4"/>
  <c r="K102" i="4"/>
  <c r="I102" i="4"/>
  <c r="J102" i="4" s="1"/>
  <c r="G102" i="4"/>
  <c r="K48" i="4"/>
  <c r="I48" i="4"/>
  <c r="J48" i="4" s="1"/>
  <c r="G48" i="4"/>
  <c r="K148" i="4"/>
  <c r="I148" i="4"/>
  <c r="J148" i="4" s="1"/>
  <c r="G148" i="4"/>
  <c r="K312" i="4"/>
  <c r="I312" i="4"/>
  <c r="J312" i="4" s="1"/>
  <c r="G312" i="4"/>
  <c r="K311" i="4"/>
  <c r="I311" i="4"/>
  <c r="J311" i="4" s="1"/>
  <c r="G311" i="4"/>
  <c r="K310" i="4"/>
  <c r="I310" i="4"/>
  <c r="J310" i="4" s="1"/>
  <c r="G310" i="4"/>
  <c r="K261" i="4"/>
  <c r="I261" i="4"/>
  <c r="J261" i="4" s="1"/>
  <c r="G261" i="4"/>
  <c r="K47" i="4"/>
  <c r="I47" i="4"/>
  <c r="J47" i="4" s="1"/>
  <c r="G47" i="4"/>
  <c r="K46" i="4"/>
  <c r="I46" i="4"/>
  <c r="J46" i="4" s="1"/>
  <c r="G46" i="4"/>
  <c r="K147" i="4"/>
  <c r="I147" i="4"/>
  <c r="J147" i="4" s="1"/>
  <c r="G147" i="4"/>
  <c r="K201" i="4"/>
  <c r="I201" i="4"/>
  <c r="J201" i="4" s="1"/>
  <c r="G201" i="4"/>
  <c r="K200" i="4"/>
  <c r="I200" i="4"/>
  <c r="J200" i="4" s="1"/>
  <c r="G200" i="4"/>
  <c r="K309" i="4"/>
  <c r="I309" i="4"/>
  <c r="J309" i="4" s="1"/>
  <c r="G309" i="4"/>
  <c r="K260" i="4"/>
  <c r="I260" i="4"/>
  <c r="J260" i="4" s="1"/>
  <c r="G260" i="4"/>
  <c r="K45" i="4"/>
  <c r="I45" i="4"/>
  <c r="J45" i="4" s="1"/>
  <c r="G45" i="4"/>
  <c r="K44" i="4"/>
  <c r="I44" i="4"/>
  <c r="J44" i="4" s="1"/>
  <c r="G44" i="4"/>
  <c r="K43" i="4"/>
  <c r="I43" i="4"/>
  <c r="J43" i="4" s="1"/>
  <c r="G43" i="4"/>
  <c r="K146" i="4"/>
  <c r="I146" i="4"/>
  <c r="J146" i="4" s="1"/>
  <c r="G146" i="4"/>
  <c r="K308" i="4"/>
  <c r="I308" i="4"/>
  <c r="J308" i="4" s="1"/>
  <c r="G308" i="4"/>
  <c r="K307" i="4"/>
  <c r="I307" i="4"/>
  <c r="J307" i="4" s="1"/>
  <c r="G307" i="4"/>
  <c r="K259" i="4"/>
  <c r="I259" i="4"/>
  <c r="J259" i="4" s="1"/>
  <c r="G259" i="4"/>
  <c r="K145" i="4"/>
  <c r="I145" i="4"/>
  <c r="J145" i="4" s="1"/>
  <c r="G145" i="4"/>
  <c r="K144" i="4"/>
  <c r="I144" i="4"/>
  <c r="J144" i="4" s="1"/>
  <c r="G144" i="4"/>
  <c r="K199" i="4"/>
  <c r="I199" i="4"/>
  <c r="J199" i="4" s="1"/>
  <c r="G199" i="4"/>
  <c r="K306" i="4"/>
  <c r="I306" i="4"/>
  <c r="J306" i="4" s="1"/>
  <c r="G306" i="4"/>
  <c r="K101" i="4"/>
  <c r="I101" i="4"/>
  <c r="J101" i="4" s="1"/>
  <c r="G101" i="4"/>
  <c r="K100" i="4"/>
  <c r="I100" i="4"/>
  <c r="J100" i="4" s="1"/>
  <c r="G100" i="4"/>
  <c r="K258" i="4"/>
  <c r="I258" i="4"/>
  <c r="J258" i="4" s="1"/>
  <c r="G258" i="4"/>
  <c r="K257" i="4"/>
  <c r="I257" i="4"/>
  <c r="J257" i="4" s="1"/>
  <c r="G257" i="4"/>
  <c r="K256" i="4"/>
  <c r="I256" i="4"/>
  <c r="J256" i="4" s="1"/>
  <c r="G256" i="4"/>
  <c r="K42" i="4"/>
  <c r="I42" i="4"/>
  <c r="J42" i="4" s="1"/>
  <c r="G42" i="4"/>
  <c r="K143" i="4"/>
  <c r="I143" i="4"/>
  <c r="J143" i="4" s="1"/>
  <c r="G143" i="4"/>
  <c r="K198" i="4"/>
  <c r="I198" i="4"/>
  <c r="J198" i="4" s="1"/>
  <c r="G198" i="4"/>
  <c r="K305" i="4"/>
  <c r="I305" i="4"/>
  <c r="J305" i="4" s="1"/>
  <c r="G305" i="4"/>
  <c r="K99" i="4"/>
  <c r="I99" i="4"/>
  <c r="J99" i="4" s="1"/>
  <c r="G99" i="4"/>
  <c r="K98" i="4"/>
  <c r="I98" i="4"/>
  <c r="J98" i="4" s="1"/>
  <c r="G98" i="4"/>
  <c r="K255" i="4"/>
  <c r="I255" i="4"/>
  <c r="J255" i="4" s="1"/>
  <c r="G255" i="4"/>
  <c r="K254" i="4"/>
  <c r="I254" i="4"/>
  <c r="J254" i="4" s="1"/>
  <c r="G254" i="4"/>
  <c r="K41" i="4"/>
  <c r="I41" i="4"/>
  <c r="J41" i="4" s="1"/>
  <c r="G41" i="4"/>
  <c r="K142" i="4"/>
  <c r="I142" i="4"/>
  <c r="J142" i="4" s="1"/>
  <c r="G142" i="4"/>
  <c r="K197" i="4"/>
  <c r="I197" i="4"/>
  <c r="J197" i="4" s="1"/>
  <c r="G197" i="4"/>
  <c r="K304" i="4"/>
  <c r="I304" i="4"/>
  <c r="J304" i="4" s="1"/>
  <c r="G304" i="4"/>
  <c r="K303" i="4"/>
  <c r="I303" i="4"/>
  <c r="J303" i="4" s="1"/>
  <c r="G303" i="4"/>
  <c r="K302" i="4"/>
  <c r="I302" i="4"/>
  <c r="J302" i="4" s="1"/>
  <c r="G302" i="4"/>
  <c r="K253" i="4"/>
  <c r="I253" i="4"/>
  <c r="J253" i="4" s="1"/>
  <c r="G253" i="4"/>
  <c r="K252" i="4"/>
  <c r="I252" i="4"/>
  <c r="J252" i="4" s="1"/>
  <c r="G252" i="4"/>
  <c r="K251" i="4"/>
  <c r="I251" i="4"/>
  <c r="J251" i="4" s="1"/>
  <c r="G251" i="4"/>
  <c r="K250" i="4"/>
  <c r="I250" i="4"/>
  <c r="J250" i="4" s="1"/>
  <c r="G250" i="4"/>
  <c r="K40" i="4"/>
  <c r="I40" i="4"/>
  <c r="J40" i="4" s="1"/>
  <c r="G40" i="4"/>
  <c r="K39" i="4"/>
  <c r="I39" i="4"/>
  <c r="J39" i="4" s="1"/>
  <c r="G39" i="4"/>
  <c r="K38" i="4"/>
  <c r="I38" i="4"/>
  <c r="J38" i="4" s="1"/>
  <c r="G38" i="4"/>
  <c r="K196" i="4"/>
  <c r="I196" i="4"/>
  <c r="J196" i="4" s="1"/>
  <c r="G196" i="4"/>
  <c r="K195" i="4"/>
  <c r="I195" i="4"/>
  <c r="J195" i="4" s="1"/>
  <c r="G195" i="4"/>
  <c r="K37" i="4"/>
  <c r="I37" i="4"/>
  <c r="J37" i="4" s="1"/>
  <c r="G37" i="4"/>
  <c r="K141" i="4"/>
  <c r="I141" i="4"/>
  <c r="J141" i="4" s="1"/>
  <c r="G141" i="4"/>
  <c r="K194" i="4"/>
  <c r="I194" i="4"/>
  <c r="J194" i="4" s="1"/>
  <c r="G194" i="4"/>
  <c r="K193" i="4"/>
  <c r="I193" i="4"/>
  <c r="J193" i="4" s="1"/>
  <c r="G193" i="4"/>
  <c r="K192" i="4"/>
  <c r="I192" i="4"/>
  <c r="J192" i="4" s="1"/>
  <c r="G192" i="4"/>
  <c r="K301" i="4"/>
  <c r="I301" i="4"/>
  <c r="J301" i="4" s="1"/>
  <c r="G301" i="4"/>
  <c r="K300" i="4"/>
  <c r="I300" i="4"/>
  <c r="J300" i="4" s="1"/>
  <c r="G300" i="4"/>
  <c r="K299" i="4"/>
  <c r="I299" i="4"/>
  <c r="J299" i="4" s="1"/>
  <c r="G299" i="4"/>
  <c r="K298" i="4"/>
  <c r="I298" i="4"/>
  <c r="J298" i="4" s="1"/>
  <c r="G298" i="4"/>
  <c r="K297" i="4"/>
  <c r="I297" i="4"/>
  <c r="J297" i="4" s="1"/>
  <c r="G297" i="4"/>
  <c r="K97" i="4"/>
  <c r="I97" i="4"/>
  <c r="J97" i="4" s="1"/>
  <c r="G97" i="4"/>
  <c r="K96" i="4"/>
  <c r="I96" i="4"/>
  <c r="J96" i="4" s="1"/>
  <c r="G96" i="4"/>
  <c r="K249" i="4"/>
  <c r="I249" i="4"/>
  <c r="J249" i="4" s="1"/>
  <c r="G249" i="4"/>
  <c r="K248" i="4"/>
  <c r="I248" i="4"/>
  <c r="J248" i="4" s="1"/>
  <c r="G248" i="4"/>
  <c r="K36" i="4"/>
  <c r="I36" i="4"/>
  <c r="J36" i="4" s="1"/>
  <c r="G36" i="4"/>
  <c r="K35" i="4"/>
  <c r="I35" i="4"/>
  <c r="J35" i="4" s="1"/>
  <c r="G35" i="4"/>
  <c r="K140" i="4"/>
  <c r="I140" i="4"/>
  <c r="J140" i="4" s="1"/>
  <c r="G140" i="4"/>
  <c r="K139" i="4"/>
  <c r="I139" i="4"/>
  <c r="J139" i="4" s="1"/>
  <c r="G139" i="4"/>
  <c r="K191" i="4"/>
  <c r="I191" i="4"/>
  <c r="J191" i="4" s="1"/>
  <c r="G191" i="4"/>
  <c r="K190" i="4"/>
  <c r="I190" i="4"/>
  <c r="J190" i="4" s="1"/>
  <c r="G190" i="4"/>
  <c r="K189" i="4"/>
  <c r="I189" i="4"/>
  <c r="J189" i="4" s="1"/>
  <c r="G189" i="4"/>
  <c r="K188" i="4"/>
  <c r="I188" i="4"/>
  <c r="J188" i="4" s="1"/>
  <c r="G188" i="4"/>
  <c r="K296" i="4"/>
  <c r="I296" i="4"/>
  <c r="J296" i="4" s="1"/>
  <c r="G296" i="4"/>
  <c r="K95" i="4"/>
  <c r="I95" i="4"/>
  <c r="J95" i="4" s="1"/>
  <c r="G95" i="4"/>
  <c r="K94" i="4"/>
  <c r="I94" i="4"/>
  <c r="J94" i="4" s="1"/>
  <c r="G94" i="4"/>
  <c r="K93" i="4"/>
  <c r="I93" i="4"/>
  <c r="J93" i="4" s="1"/>
  <c r="G93" i="4"/>
  <c r="K138" i="4"/>
  <c r="I138" i="4"/>
  <c r="J138" i="4" s="1"/>
  <c r="G138" i="4"/>
  <c r="K137" i="4"/>
  <c r="I137" i="4"/>
  <c r="J137" i="4" s="1"/>
  <c r="G137" i="4"/>
  <c r="K136" i="4"/>
  <c r="I136" i="4"/>
  <c r="J136" i="4" s="1"/>
  <c r="G136" i="4"/>
  <c r="K135" i="4"/>
  <c r="I135" i="4"/>
  <c r="J135" i="4" s="1"/>
  <c r="G135" i="4"/>
  <c r="K187" i="4"/>
  <c r="I187" i="4"/>
  <c r="J187" i="4" s="1"/>
  <c r="G187" i="4"/>
  <c r="K295" i="4"/>
  <c r="I295" i="4"/>
  <c r="J295" i="4" s="1"/>
  <c r="G295" i="4"/>
  <c r="K92" i="4"/>
  <c r="I92" i="4"/>
  <c r="J92" i="4" s="1"/>
  <c r="G92" i="4"/>
  <c r="K91" i="4"/>
  <c r="I91" i="4"/>
  <c r="J91" i="4" s="1"/>
  <c r="G91" i="4"/>
  <c r="K90" i="4"/>
  <c r="I90" i="4"/>
  <c r="J90" i="4" s="1"/>
  <c r="G90" i="4"/>
  <c r="K247" i="4"/>
  <c r="I247" i="4"/>
  <c r="J247" i="4" s="1"/>
  <c r="G247" i="4"/>
  <c r="K34" i="4"/>
  <c r="I34" i="4"/>
  <c r="J34" i="4" s="1"/>
  <c r="G34" i="4"/>
  <c r="K134" i="4"/>
  <c r="I134" i="4"/>
  <c r="J134" i="4" s="1"/>
  <c r="G134" i="4"/>
  <c r="K186" i="4"/>
  <c r="I186" i="4"/>
  <c r="J186" i="4" s="1"/>
  <c r="G186" i="4"/>
  <c r="K185" i="4"/>
  <c r="I185" i="4"/>
  <c r="J185" i="4" s="1"/>
  <c r="G185" i="4"/>
  <c r="K294" i="4"/>
  <c r="I294" i="4"/>
  <c r="J294" i="4" s="1"/>
  <c r="G294" i="4"/>
  <c r="K293" i="4"/>
  <c r="I293" i="4"/>
  <c r="J293" i="4" s="1"/>
  <c r="G293" i="4"/>
  <c r="K89" i="4"/>
  <c r="I89" i="4"/>
  <c r="J89" i="4" s="1"/>
  <c r="G89" i="4"/>
  <c r="K88" i="4"/>
  <c r="I88" i="4"/>
  <c r="J88" i="4" s="1"/>
  <c r="G88" i="4"/>
  <c r="K87" i="4"/>
  <c r="I87" i="4"/>
  <c r="J87" i="4" s="1"/>
  <c r="G87" i="4"/>
  <c r="K246" i="4"/>
  <c r="I246" i="4"/>
  <c r="J246" i="4" s="1"/>
  <c r="G246" i="4"/>
  <c r="K245" i="4"/>
  <c r="I245" i="4"/>
  <c r="J245" i="4" s="1"/>
  <c r="G245" i="4"/>
  <c r="K33" i="4"/>
  <c r="I33" i="4"/>
  <c r="J33" i="4" s="1"/>
  <c r="G33" i="4"/>
  <c r="K32" i="4"/>
  <c r="I32" i="4"/>
  <c r="J32" i="4" s="1"/>
  <c r="G32" i="4"/>
  <c r="K31" i="4"/>
  <c r="I31" i="4"/>
  <c r="J31" i="4" s="1"/>
  <c r="G31" i="4"/>
  <c r="K133" i="4"/>
  <c r="I133" i="4"/>
  <c r="J133" i="4" s="1"/>
  <c r="G133" i="4"/>
  <c r="K132" i="4"/>
  <c r="I132" i="4"/>
  <c r="J132" i="4" s="1"/>
  <c r="G132" i="4"/>
  <c r="K131" i="4"/>
  <c r="I131" i="4"/>
  <c r="J131" i="4" s="1"/>
  <c r="G131" i="4"/>
  <c r="K184" i="4"/>
  <c r="I184" i="4"/>
  <c r="J184" i="4" s="1"/>
  <c r="G184" i="4"/>
  <c r="K183" i="4"/>
  <c r="I183" i="4"/>
  <c r="J183" i="4" s="1"/>
  <c r="G183" i="4"/>
  <c r="K182" i="4"/>
  <c r="I182" i="4"/>
  <c r="J182" i="4" s="1"/>
  <c r="G182" i="4"/>
  <c r="K181" i="4"/>
  <c r="I181" i="4"/>
  <c r="J181" i="4" s="1"/>
  <c r="G181" i="4"/>
  <c r="K180" i="4"/>
  <c r="I180" i="4"/>
  <c r="J180" i="4" s="1"/>
  <c r="G180" i="4"/>
  <c r="K292" i="4"/>
  <c r="I292" i="4"/>
  <c r="J292" i="4" s="1"/>
  <c r="G292" i="4"/>
  <c r="K291" i="4"/>
  <c r="I291" i="4"/>
  <c r="J291" i="4" s="1"/>
  <c r="G291" i="4"/>
  <c r="K290" i="4"/>
  <c r="I290" i="4"/>
  <c r="J290" i="4" s="1"/>
  <c r="G290" i="4"/>
  <c r="K289" i="4"/>
  <c r="I289" i="4"/>
  <c r="J289" i="4" s="1"/>
  <c r="G289" i="4"/>
  <c r="K288" i="4"/>
  <c r="I288" i="4"/>
  <c r="J288" i="4" s="1"/>
  <c r="G288" i="4"/>
  <c r="K287" i="4"/>
  <c r="I287" i="4"/>
  <c r="J287" i="4" s="1"/>
  <c r="G287" i="4"/>
  <c r="K286" i="4"/>
  <c r="I286" i="4"/>
  <c r="J286" i="4" s="1"/>
  <c r="G286" i="4"/>
  <c r="K285" i="4"/>
  <c r="I285" i="4"/>
  <c r="J285" i="4" s="1"/>
  <c r="G285" i="4"/>
  <c r="K284" i="4"/>
  <c r="I284" i="4"/>
  <c r="J284" i="4" s="1"/>
  <c r="G284" i="4"/>
  <c r="K86" i="4"/>
  <c r="I86" i="4"/>
  <c r="J86" i="4" s="1"/>
  <c r="G86" i="4"/>
  <c r="K85" i="4"/>
  <c r="I85" i="4"/>
  <c r="J85" i="4" s="1"/>
  <c r="G85" i="4"/>
  <c r="K84" i="4"/>
  <c r="I84" i="4"/>
  <c r="J84" i="4" s="1"/>
  <c r="G84" i="4"/>
  <c r="K244" i="4"/>
  <c r="I244" i="4"/>
  <c r="J244" i="4" s="1"/>
  <c r="G244" i="4"/>
  <c r="K30" i="4"/>
  <c r="I30" i="4"/>
  <c r="J30" i="4" s="1"/>
  <c r="G30" i="4"/>
  <c r="K179" i="4"/>
  <c r="I179" i="4"/>
  <c r="J179" i="4" s="1"/>
  <c r="G179" i="4"/>
  <c r="K283" i="4"/>
  <c r="I283" i="4"/>
  <c r="J283" i="4" s="1"/>
  <c r="G283" i="4"/>
  <c r="K83" i="4"/>
  <c r="I83" i="4"/>
  <c r="J83" i="4" s="1"/>
  <c r="G83" i="4"/>
  <c r="K29" i="4"/>
  <c r="I29" i="4"/>
  <c r="J29" i="4" s="1"/>
  <c r="G29" i="4"/>
  <c r="K28" i="4"/>
  <c r="I28" i="4"/>
  <c r="J28" i="4" s="1"/>
  <c r="G28" i="4"/>
  <c r="K27" i="4"/>
  <c r="I27" i="4"/>
  <c r="J27" i="4" s="1"/>
  <c r="G27" i="4"/>
  <c r="K178" i="4"/>
  <c r="I178" i="4"/>
  <c r="J178" i="4" s="1"/>
  <c r="G178" i="4"/>
  <c r="K177" i="4"/>
  <c r="I177" i="4"/>
  <c r="J177" i="4" s="1"/>
  <c r="G177" i="4"/>
  <c r="K176" i="4"/>
  <c r="I176" i="4"/>
  <c r="J176" i="4" s="1"/>
  <c r="G176" i="4"/>
  <c r="K175" i="4"/>
  <c r="I175" i="4"/>
  <c r="J175" i="4" s="1"/>
  <c r="G175" i="4"/>
  <c r="K174" i="4"/>
  <c r="I174" i="4"/>
  <c r="J174" i="4" s="1"/>
  <c r="G174" i="4"/>
  <c r="K282" i="4"/>
  <c r="I282" i="4"/>
  <c r="J282" i="4" s="1"/>
  <c r="G282" i="4"/>
  <c r="K281" i="4"/>
  <c r="I281" i="4"/>
  <c r="J281" i="4" s="1"/>
  <c r="G281" i="4"/>
  <c r="K82" i="4"/>
  <c r="I82" i="4"/>
  <c r="J82" i="4" s="1"/>
  <c r="G82" i="4"/>
  <c r="K81" i="4"/>
  <c r="I81" i="4"/>
  <c r="J81" i="4" s="1"/>
  <c r="G81" i="4"/>
  <c r="K80" i="4"/>
  <c r="I80" i="4"/>
  <c r="J80" i="4" s="1"/>
  <c r="G80" i="4"/>
  <c r="K26" i="4"/>
  <c r="I26" i="4"/>
  <c r="J26" i="4" s="1"/>
  <c r="G26" i="4"/>
  <c r="K173" i="4"/>
  <c r="I173" i="4"/>
  <c r="J173" i="4" s="1"/>
  <c r="G173" i="4"/>
  <c r="K280" i="4"/>
  <c r="I280" i="4"/>
  <c r="J280" i="4" s="1"/>
  <c r="G280" i="4"/>
  <c r="K79" i="4"/>
  <c r="I79" i="4"/>
  <c r="J79" i="4" s="1"/>
  <c r="G79" i="4"/>
  <c r="K78" i="4"/>
  <c r="I78" i="4"/>
  <c r="J78" i="4" s="1"/>
  <c r="G78" i="4"/>
  <c r="K77" i="4"/>
  <c r="I77" i="4"/>
  <c r="J77" i="4" s="1"/>
  <c r="G77" i="4"/>
  <c r="K76" i="4"/>
  <c r="I76" i="4"/>
  <c r="J76" i="4" s="1"/>
  <c r="G76" i="4"/>
  <c r="K243" i="4"/>
  <c r="I243" i="4"/>
  <c r="J243" i="4" s="1"/>
  <c r="G243" i="4"/>
  <c r="K242" i="4"/>
  <c r="I242" i="4"/>
  <c r="J242" i="4" s="1"/>
  <c r="G242" i="4"/>
  <c r="K241" i="4"/>
  <c r="I241" i="4"/>
  <c r="J241" i="4" s="1"/>
  <c r="G241" i="4"/>
  <c r="K25" i="4"/>
  <c r="I25" i="4"/>
  <c r="J25" i="4" s="1"/>
  <c r="G25" i="4"/>
  <c r="K130" i="4"/>
  <c r="I130" i="4"/>
  <c r="J130" i="4" s="1"/>
  <c r="G130" i="4"/>
  <c r="K129" i="4"/>
  <c r="I129" i="4"/>
  <c r="J129" i="4" s="1"/>
  <c r="G129" i="4"/>
  <c r="K172" i="4"/>
  <c r="I172" i="4"/>
  <c r="J172" i="4" s="1"/>
  <c r="G172" i="4"/>
  <c r="K279" i="4"/>
  <c r="I279" i="4"/>
  <c r="J279" i="4" s="1"/>
  <c r="G279" i="4"/>
  <c r="K75" i="4"/>
  <c r="I75" i="4"/>
  <c r="J75" i="4" s="1"/>
  <c r="G75" i="4"/>
  <c r="K74" i="4"/>
  <c r="I74" i="4"/>
  <c r="J74" i="4" s="1"/>
  <c r="G74" i="4"/>
  <c r="K73" i="4"/>
  <c r="I73" i="4"/>
  <c r="J73" i="4" s="1"/>
  <c r="G73" i="4"/>
  <c r="K240" i="4"/>
  <c r="I240" i="4"/>
  <c r="J240" i="4" s="1"/>
  <c r="G240" i="4"/>
  <c r="K239" i="4"/>
  <c r="I239" i="4"/>
  <c r="J239" i="4" s="1"/>
  <c r="G239" i="4"/>
  <c r="K238" i="4"/>
  <c r="I238" i="4"/>
  <c r="J238" i="4" s="1"/>
  <c r="G238" i="4"/>
  <c r="K237" i="4"/>
  <c r="I237" i="4"/>
  <c r="J237" i="4" s="1"/>
  <c r="G237" i="4"/>
  <c r="K24" i="4"/>
  <c r="I24" i="4"/>
  <c r="J24" i="4" s="1"/>
  <c r="G24" i="4"/>
  <c r="K128" i="4"/>
  <c r="I128" i="4"/>
  <c r="J128" i="4" s="1"/>
  <c r="G128" i="4"/>
  <c r="K127" i="4"/>
  <c r="I127" i="4"/>
  <c r="J127" i="4" s="1"/>
  <c r="G127" i="4"/>
  <c r="K171" i="4"/>
  <c r="I171" i="4"/>
  <c r="J171" i="4" s="1"/>
  <c r="G171" i="4"/>
  <c r="K170" i="4"/>
  <c r="I170" i="4"/>
  <c r="J170" i="4" s="1"/>
  <c r="G170" i="4"/>
  <c r="K278" i="4"/>
  <c r="I278" i="4"/>
  <c r="J278" i="4" s="1"/>
  <c r="G278" i="4"/>
  <c r="K277" i="4"/>
  <c r="I277" i="4"/>
  <c r="J277" i="4" s="1"/>
  <c r="G277" i="4"/>
  <c r="K276" i="4"/>
  <c r="I276" i="4"/>
  <c r="J276" i="4" s="1"/>
  <c r="G276" i="4"/>
  <c r="K236" i="4"/>
  <c r="I236" i="4"/>
  <c r="J236" i="4" s="1"/>
  <c r="G236" i="4"/>
  <c r="K235" i="4"/>
  <c r="I235" i="4"/>
  <c r="J235" i="4" s="1"/>
  <c r="G235" i="4"/>
  <c r="K234" i="4"/>
  <c r="I234" i="4"/>
  <c r="J234" i="4" s="1"/>
  <c r="G234" i="4"/>
  <c r="K233" i="4"/>
  <c r="I233" i="4"/>
  <c r="J233" i="4" s="1"/>
  <c r="G233" i="4"/>
  <c r="K169" i="4"/>
  <c r="I169" i="4"/>
  <c r="J169" i="4" s="1"/>
  <c r="G169" i="4"/>
  <c r="K168" i="4"/>
  <c r="I168" i="4"/>
  <c r="J168" i="4" s="1"/>
  <c r="G168" i="4"/>
  <c r="K72" i="4"/>
  <c r="I72" i="4"/>
  <c r="J72" i="4" s="1"/>
  <c r="G72" i="4"/>
  <c r="K71" i="4"/>
  <c r="I71" i="4"/>
  <c r="J71" i="4" s="1"/>
  <c r="G71" i="4"/>
  <c r="K232" i="4"/>
  <c r="I232" i="4"/>
  <c r="J232" i="4" s="1"/>
  <c r="G232" i="4"/>
  <c r="K231" i="4"/>
  <c r="I231" i="4"/>
  <c r="J231" i="4" s="1"/>
  <c r="G231" i="4"/>
  <c r="K23" i="4"/>
  <c r="I23" i="4"/>
  <c r="J23" i="4" s="1"/>
  <c r="G23" i="4"/>
  <c r="K22" i="4"/>
  <c r="I22" i="4"/>
  <c r="J22" i="4" s="1"/>
  <c r="G22" i="4"/>
  <c r="K21" i="4"/>
  <c r="I21" i="4"/>
  <c r="J21" i="4" s="1"/>
  <c r="G21" i="4"/>
  <c r="K126" i="4"/>
  <c r="I126" i="4"/>
  <c r="J126" i="4" s="1"/>
  <c r="G126" i="4"/>
  <c r="K167" i="4"/>
  <c r="I167" i="4"/>
  <c r="J167" i="4" s="1"/>
  <c r="G167" i="4"/>
  <c r="K230" i="4"/>
  <c r="I230" i="4"/>
  <c r="J230" i="4" s="1"/>
  <c r="G230" i="4"/>
  <c r="K229" i="4"/>
  <c r="I229" i="4"/>
  <c r="J229" i="4" s="1"/>
  <c r="G229" i="4"/>
  <c r="K228" i="4"/>
  <c r="I228" i="4"/>
  <c r="J228" i="4" s="1"/>
  <c r="G228" i="4"/>
  <c r="K227" i="4"/>
  <c r="I227" i="4"/>
  <c r="J227" i="4" s="1"/>
  <c r="G227" i="4"/>
  <c r="K226" i="4"/>
  <c r="I226" i="4"/>
  <c r="J226" i="4" s="1"/>
  <c r="G226" i="4"/>
  <c r="K20" i="4"/>
  <c r="I20" i="4"/>
  <c r="J20" i="4" s="1"/>
  <c r="G20" i="4"/>
  <c r="K125" i="4"/>
  <c r="I125" i="4"/>
  <c r="J125" i="4" s="1"/>
  <c r="G125" i="4"/>
  <c r="K166" i="4"/>
  <c r="I166" i="4"/>
  <c r="J166" i="4" s="1"/>
  <c r="G166" i="4"/>
  <c r="K275" i="4"/>
  <c r="I275" i="4"/>
  <c r="J275" i="4" s="1"/>
  <c r="G275" i="4"/>
  <c r="K70" i="4"/>
  <c r="I70" i="4"/>
  <c r="J70" i="4" s="1"/>
  <c r="G70" i="4"/>
  <c r="K69" i="4"/>
  <c r="I69" i="4"/>
  <c r="J69" i="4" s="1"/>
  <c r="G69" i="4"/>
  <c r="K225" i="4"/>
  <c r="I225" i="4"/>
  <c r="J225" i="4" s="1"/>
  <c r="G225" i="4"/>
  <c r="K124" i="4"/>
  <c r="I124" i="4"/>
  <c r="J124" i="4" s="1"/>
  <c r="G124" i="4"/>
  <c r="K123" i="4"/>
  <c r="I123" i="4"/>
  <c r="J123" i="4" s="1"/>
  <c r="G123" i="4"/>
  <c r="K165" i="4"/>
  <c r="I165" i="4"/>
  <c r="J165" i="4" s="1"/>
  <c r="G165" i="4"/>
  <c r="K164" i="4"/>
  <c r="I164" i="4"/>
  <c r="J164" i="4" s="1"/>
  <c r="G164" i="4"/>
  <c r="K163" i="4"/>
  <c r="I163" i="4"/>
  <c r="J163" i="4" s="1"/>
  <c r="G163" i="4"/>
  <c r="K274" i="4"/>
  <c r="I274" i="4"/>
  <c r="J274" i="4" s="1"/>
  <c r="G274" i="4"/>
  <c r="K273" i="4"/>
  <c r="I273" i="4"/>
  <c r="J273" i="4" s="1"/>
  <c r="G273" i="4"/>
  <c r="K272" i="4"/>
  <c r="I272" i="4"/>
  <c r="J272" i="4" s="1"/>
  <c r="G272" i="4"/>
  <c r="K68" i="4"/>
  <c r="I68" i="4"/>
  <c r="J68" i="4" s="1"/>
  <c r="G68" i="4"/>
  <c r="K67" i="4"/>
  <c r="I67" i="4"/>
  <c r="J67" i="4" s="1"/>
  <c r="G67" i="4"/>
  <c r="K224" i="4"/>
  <c r="I224" i="4"/>
  <c r="J224" i="4" s="1"/>
  <c r="G224" i="4"/>
  <c r="K223" i="4"/>
  <c r="I223" i="4"/>
  <c r="J223" i="4" s="1"/>
  <c r="G223" i="4"/>
  <c r="K19" i="4"/>
  <c r="I19" i="4"/>
  <c r="J19" i="4" s="1"/>
  <c r="G19" i="4"/>
  <c r="K18" i="4"/>
  <c r="I18" i="4"/>
  <c r="J18" i="4" s="1"/>
  <c r="G18" i="4"/>
  <c r="K122" i="4"/>
  <c r="I122" i="4"/>
  <c r="J122" i="4" s="1"/>
  <c r="G122" i="4"/>
  <c r="K121" i="4"/>
  <c r="I121" i="4"/>
  <c r="J121" i="4" s="1"/>
  <c r="G121" i="4"/>
  <c r="K162" i="4"/>
  <c r="I162" i="4"/>
  <c r="J162" i="4" s="1"/>
  <c r="G162" i="4"/>
  <c r="K161" i="4"/>
  <c r="I161" i="4"/>
  <c r="J161" i="4" s="1"/>
  <c r="G161" i="4"/>
  <c r="K66" i="4"/>
  <c r="I66" i="4"/>
  <c r="J66" i="4" s="1"/>
  <c r="G66" i="4"/>
  <c r="K65" i="4"/>
  <c r="I65" i="4"/>
  <c r="J65" i="4" s="1"/>
  <c r="G65" i="4"/>
  <c r="K222" i="4"/>
  <c r="I222" i="4"/>
  <c r="J222" i="4" s="1"/>
  <c r="G222" i="4"/>
  <c r="K17" i="4"/>
  <c r="I17" i="4"/>
  <c r="J17" i="4" s="1"/>
  <c r="G17" i="4"/>
  <c r="K16" i="4"/>
  <c r="I16" i="4"/>
  <c r="J16" i="4" s="1"/>
  <c r="G16" i="4"/>
  <c r="K15" i="4"/>
  <c r="K120" i="4"/>
  <c r="I120" i="4"/>
  <c r="J120" i="4" s="1"/>
  <c r="G120" i="4"/>
  <c r="K119" i="4"/>
  <c r="I119" i="4"/>
  <c r="J119" i="4" s="1"/>
  <c r="G119" i="4"/>
  <c r="K118" i="4"/>
  <c r="K160" i="4"/>
  <c r="I160" i="4"/>
  <c r="J160" i="4" s="1"/>
  <c r="G160" i="4"/>
  <c r="K159" i="4"/>
  <c r="I159" i="4"/>
  <c r="J159" i="4" s="1"/>
  <c r="G159" i="4"/>
  <c r="K158" i="4"/>
  <c r="I158" i="4"/>
  <c r="J158" i="4" s="1"/>
  <c r="G158" i="4"/>
  <c r="K221" i="4"/>
  <c r="I221" i="4"/>
  <c r="J221" i="4" s="1"/>
  <c r="G221" i="4"/>
  <c r="K220" i="4"/>
  <c r="I220" i="4"/>
  <c r="J220" i="4" s="1"/>
  <c r="G220" i="4"/>
  <c r="K219" i="4"/>
  <c r="I219" i="4"/>
  <c r="J219" i="4" s="1"/>
  <c r="G219" i="4"/>
  <c r="K14" i="4"/>
  <c r="I14" i="4"/>
  <c r="J14" i="4" s="1"/>
  <c r="G14" i="4"/>
  <c r="K117" i="4"/>
  <c r="I117" i="4"/>
  <c r="J117" i="4" s="1"/>
  <c r="G117" i="4"/>
  <c r="K116" i="4"/>
  <c r="K115" i="4"/>
  <c r="K157" i="4"/>
  <c r="I157" i="4"/>
  <c r="J157" i="4" s="1"/>
  <c r="G157" i="4"/>
  <c r="K156" i="4"/>
  <c r="I156" i="4"/>
  <c r="J156" i="4" s="1"/>
  <c r="G156" i="4"/>
  <c r="K64" i="4"/>
  <c r="K63" i="4"/>
  <c r="K62" i="4"/>
  <c r="K155" i="4"/>
  <c r="K13" i="4"/>
  <c r="K114" i="4"/>
  <c r="K113" i="4"/>
  <c r="K112" i="4"/>
  <c r="K12" i="4"/>
  <c r="K271" i="4"/>
  <c r="K154" i="4"/>
</calcChain>
</file>

<file path=xl/sharedStrings.xml><?xml version="1.0" encoding="utf-8"?>
<sst xmlns="http://schemas.openxmlformats.org/spreadsheetml/2006/main" count="73" uniqueCount="55">
  <si>
    <t>товары</t>
  </si>
  <si>
    <t>продажи</t>
  </si>
  <si>
    <t>поставщики</t>
  </si>
  <si>
    <t>поставки</t>
  </si>
  <si>
    <t>сотрудники</t>
  </si>
  <si>
    <t>отчеты</t>
  </si>
  <si>
    <t>расчет зп</t>
  </si>
  <si>
    <t xml:space="preserve"> доступ</t>
  </si>
  <si>
    <t>выход</t>
  </si>
  <si>
    <t>A</t>
  </si>
  <si>
    <t>B</t>
  </si>
  <si>
    <t>C</t>
  </si>
  <si>
    <t>D</t>
  </si>
  <si>
    <t>E</t>
  </si>
  <si>
    <t>F</t>
  </si>
  <si>
    <t>G</t>
  </si>
  <si>
    <t>Код</t>
  </si>
  <si>
    <t>товара</t>
  </si>
  <si>
    <t>Наименование</t>
  </si>
  <si>
    <t>Сорт</t>
  </si>
  <si>
    <t>Оптовая цена</t>
  </si>
  <si>
    <t>Наценка</t>
  </si>
  <si>
    <t>поставщика</t>
  </si>
  <si>
    <t>Лапти липовые</t>
  </si>
  <si>
    <t>Лапти дубовые</t>
  </si>
  <si>
    <t>Галоши</t>
  </si>
  <si>
    <t>Валенки</t>
  </si>
  <si>
    <t>Кепка a ’la Lenin</t>
  </si>
  <si>
    <t>Кепка a 'la Luzkov</t>
  </si>
  <si>
    <t>Столбец1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</si>
  <si>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</si>
  <si>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</si>
  <si>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</si>
  <si>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</si>
  <si>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</si>
  <si>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</si>
  <si>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</si>
  <si>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№ заказа</t>
  </si>
  <si>
    <t>Дата продажи</t>
  </si>
  <si>
    <t>Код товара</t>
  </si>
  <si>
    <t>Количество</t>
  </si>
  <si>
    <t>Цена</t>
  </si>
  <si>
    <t>Сумма</t>
  </si>
  <si>
    <t>Поставщик</t>
  </si>
  <si>
    <t>код постащика</t>
  </si>
  <si>
    <t>наименование</t>
  </si>
  <si>
    <t>ООО "Липовый чай"</t>
  </si>
  <si>
    <t>ЗАО "от Петровича"</t>
  </si>
  <si>
    <t>ЗАО "Баба- Яга"</t>
  </si>
  <si>
    <t>ОАО "High hat"</t>
  </si>
  <si>
    <t>дата продажи</t>
  </si>
  <si>
    <t>код товара</t>
  </si>
  <si>
    <t>количество</t>
  </si>
  <si>
    <t>цена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</si>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</sst>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CCFFCC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right" vertical="center"/>
    </xf>
    <xf numFmtId="9" fontId="2" fillId="0" borderId="6" xfId="0" applyNumberFormat="1" applyFont="1" applyBorder="1" applyAlignment="1">
      <alignment horizontal="right" vertical="center"/>
    </xf>
    <xf numFmtId="0" fontId="2" fillId="0" borderId="10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right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right" vertical="center"/>
    </xf>
    <xf numFmtId="0" fontId="2" fillId="0" borderId="8" xfId="0" applyFont="1" applyBorder="1" applyAlignment="1">
      <alignment vertical="center"/>
    </xf>
    <xf numFmtId="9" fontId="2" fillId="0" borderId="8" xfId="0" applyNumberFormat="1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13" xfId="0" applyBorder="1"/>
    <xf numFmtId="0" fontId="0" fillId="0" borderId="2" xfId="0" applyBorder="1"/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3" borderId="15" xfId="0" applyFont="1" applyFill="1" applyBorder="1" applyAlignment="1">
      <alignment horizontal="center"/>
    </xf>
  </cellXfs>
  <cellStyles count="1">
    <cellStyle name="Обычный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CCFFCC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3" formatCode="0%"/>
      <alignment horizontal="righ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righ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righ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righ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16" fmlaLink="$V$14" fmlaRange="$V$8:$V$13" noThreeD="1" sel="0" val="0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hyperlink" Target="#&#1052;&#1077;&#1085;&#1102;!A1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Relationship Id="rId9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269404</xdr:colOff>
      <xdr:row>14</xdr:row>
      <xdr:rowOff>155073</xdr:rowOff>
    </xdr:from>
    <xdr:ext cx="5842946" cy="937629"/>
    <xdr:sp macro="" textlink="">
      <xdr:nvSpPr>
        <xdr:cNvPr id="2" name="Прямоугольник 1">
          <a:hlinkClick xmlns:r="http://schemas.openxmlformats.org/officeDocument/2006/relationships" r:id="rId1"/>
        </xdr:cNvPr>
        <xdr:cNvSpPr/>
      </xdr:nvSpPr>
      <xdr:spPr>
        <a:xfrm>
          <a:off x="1488604" y="2822073"/>
          <a:ext cx="5842946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ru-RU" sz="5400" b="1" cap="none" spc="0">
              <a:ln/>
              <a:solidFill>
                <a:srgbClr val="FF0000"/>
              </a:solidFill>
              <a:effectLst/>
            </a:rPr>
            <a:t>РУССКИЙ</a:t>
          </a:r>
          <a:r>
            <a:rPr lang="ru-RU" sz="5400" b="1" cap="none" spc="0" baseline="0">
              <a:ln/>
              <a:solidFill>
                <a:srgbClr val="FF0000"/>
              </a:solidFill>
              <a:effectLst/>
            </a:rPr>
            <a:t> СУВЕНИР</a:t>
          </a:r>
          <a:endParaRPr lang="ru-RU" sz="5400" b="1" cap="none" spc="0">
            <a:ln/>
            <a:solidFill>
              <a:srgbClr val="FF0000"/>
            </a:solidFill>
            <a:effectLst/>
          </a:endParaRPr>
        </a:p>
      </xdr:txBody>
    </xdr:sp>
    <xdr:clientData/>
  </xdr:oneCellAnchor>
  <xdr:twoCellAnchor editAs="oneCell">
    <xdr:from>
      <xdr:col>12</xdr:col>
      <xdr:colOff>28576</xdr:colOff>
      <xdr:row>12</xdr:row>
      <xdr:rowOff>143695</xdr:rowOff>
    </xdr:from>
    <xdr:to>
      <xdr:col>14</xdr:col>
      <xdr:colOff>66675</xdr:colOff>
      <xdr:row>24</xdr:row>
      <xdr:rowOff>78091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6" y="2429695"/>
          <a:ext cx="1257299" cy="2220396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228602</xdr:colOff>
      <xdr:row>5</xdr:row>
      <xdr:rowOff>114299</xdr:rowOff>
    </xdr:from>
    <xdr:to>
      <xdr:col>9</xdr:col>
      <xdr:colOff>121641</xdr:colOff>
      <xdr:row>13</xdr:row>
      <xdr:rowOff>152398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2" y="1066799"/>
          <a:ext cx="1721839" cy="1562099"/>
        </a:xfrm>
        <a:prstGeom prst="rect">
          <a:avLst/>
        </a:prstGeom>
        <a:scene3d>
          <a:camera prst="obliqueBottomLeft"/>
          <a:lightRig rig="threePt" dir="t"/>
        </a:scene3d>
      </xdr:spPr>
    </xdr:pic>
    <xdr:clientData/>
  </xdr:twoCellAnchor>
  <xdr:twoCellAnchor editAs="oneCell">
    <xdr:from>
      <xdr:col>0</xdr:col>
      <xdr:colOff>435015</xdr:colOff>
      <xdr:row>7</xdr:row>
      <xdr:rowOff>163305</xdr:rowOff>
    </xdr:from>
    <xdr:to>
      <xdr:col>3</xdr:col>
      <xdr:colOff>392047</xdr:colOff>
      <xdr:row>21</xdr:row>
      <xdr:rowOff>88642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378141">
          <a:off x="435015" y="1496805"/>
          <a:ext cx="1785832" cy="25923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3</xdr:row>
      <xdr:rowOff>19050</xdr:rowOff>
    </xdr:from>
    <xdr:to>
      <xdr:col>4</xdr:col>
      <xdr:colOff>19050</xdr:colOff>
      <xdr:row>22</xdr:row>
      <xdr:rowOff>0</xdr:rowOff>
    </xdr:to>
    <xdr:sp macro="" textlink="">
      <xdr:nvSpPr>
        <xdr:cNvPr id="2" name="Прямоугольник 1"/>
        <xdr:cNvSpPr/>
      </xdr:nvSpPr>
      <xdr:spPr>
        <a:xfrm>
          <a:off x="9525" y="590550"/>
          <a:ext cx="2876550" cy="45053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190500</xdr:rowOff>
        </xdr:from>
        <xdr:to>
          <xdr:col>3</xdr:col>
          <xdr:colOff>0</xdr:colOff>
          <xdr:row>5</xdr:row>
          <xdr:rowOff>30480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7620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213360</xdr:rowOff>
        </xdr:from>
        <xdr:to>
          <xdr:col>2</xdr:col>
          <xdr:colOff>601980</xdr:colOff>
          <xdr:row>8</xdr:row>
          <xdr:rowOff>228600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0</xdr:rowOff>
        </xdr:from>
        <xdr:to>
          <xdr:col>2</xdr:col>
          <xdr:colOff>601980</xdr:colOff>
          <xdr:row>11</xdr:row>
          <xdr:rowOff>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11</xdr:row>
          <xdr:rowOff>30480</xdr:rowOff>
        </xdr:from>
        <xdr:to>
          <xdr:col>2</xdr:col>
          <xdr:colOff>601980</xdr:colOff>
          <xdr:row>13</xdr:row>
          <xdr:rowOff>22860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13</xdr:row>
          <xdr:rowOff>22860</xdr:rowOff>
        </xdr:from>
        <xdr:to>
          <xdr:col>3</xdr:col>
          <xdr:colOff>7620</xdr:colOff>
          <xdr:row>15</xdr:row>
          <xdr:rowOff>30480</xdr:rowOff>
        </xdr:to>
        <xdr:sp macro="" textlink="">
          <xdr:nvSpPr>
            <xdr:cNvPr id="2054" name="CommandButton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22860</xdr:rowOff>
        </xdr:from>
        <xdr:to>
          <xdr:col>3</xdr:col>
          <xdr:colOff>0</xdr:colOff>
          <xdr:row>17</xdr:row>
          <xdr:rowOff>22860</xdr:rowOff>
        </xdr:to>
        <xdr:sp macro="" textlink="">
          <xdr:nvSpPr>
            <xdr:cNvPr id="2055" name="CommandButton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236220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2057" name="CommandButton8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19</xdr:row>
          <xdr:rowOff>7620</xdr:rowOff>
        </xdr:from>
        <xdr:to>
          <xdr:col>3</xdr:col>
          <xdr:colOff>0</xdr:colOff>
          <xdr:row>21</xdr:row>
          <xdr:rowOff>22860</xdr:rowOff>
        </xdr:to>
        <xdr:sp macro="" textlink="">
          <xdr:nvSpPr>
            <xdr:cNvPr id="2058" name="CommandButton9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6</xdr:row>
          <xdr:rowOff>76200</xdr:rowOff>
        </xdr:from>
        <xdr:to>
          <xdr:col>4</xdr:col>
          <xdr:colOff>121920</xdr:colOff>
          <xdr:row>8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289560</xdr:colOff>
          <xdr:row>1</xdr:row>
          <xdr:rowOff>7620</xdr:rowOff>
        </xdr:from>
        <xdr:to>
          <xdr:col>1</xdr:col>
          <xdr:colOff>594360</xdr:colOff>
          <xdr:row>2</xdr:row>
          <xdr:rowOff>121920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480060</xdr:colOff>
          <xdr:row>6</xdr:row>
          <xdr:rowOff>0</xdr:rowOff>
        </xdr:from>
        <xdr:to>
          <xdr:col>2</xdr:col>
          <xdr:colOff>259080</xdr:colOff>
          <xdr:row>7</xdr:row>
          <xdr:rowOff>83820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</xdr:row>
          <xdr:rowOff>182880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22860</xdr:rowOff>
        </xdr:from>
        <xdr:to>
          <xdr:col>5</xdr:col>
          <xdr:colOff>960120</xdr:colOff>
          <xdr:row>6</xdr:row>
          <xdr:rowOff>45720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Сортировать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441960</xdr:colOff>
          <xdr:row>1</xdr:row>
          <xdr:rowOff>106680</xdr:rowOff>
        </xdr:from>
        <xdr:to>
          <xdr:col>2</xdr:col>
          <xdr:colOff>137160</xdr:colOff>
          <xdr:row>3</xdr:row>
          <xdr:rowOff>7620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480060</xdr:colOff>
          <xdr:row>7</xdr:row>
          <xdr:rowOff>144780</xdr:rowOff>
        </xdr:from>
        <xdr:to>
          <xdr:col>6</xdr:col>
          <xdr:colOff>175260</xdr:colOff>
          <xdr:row>9</xdr:row>
          <xdr:rowOff>68580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7</xdr:row>
          <xdr:rowOff>38100</xdr:rowOff>
        </xdr:from>
        <xdr:to>
          <xdr:col>7</xdr:col>
          <xdr:colOff>236220</xdr:colOff>
          <xdr:row>8</xdr:row>
          <xdr:rowOff>152400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8</xdr:row>
          <xdr:rowOff>68580</xdr:rowOff>
        </xdr:from>
        <xdr:to>
          <xdr:col>7</xdr:col>
          <xdr:colOff>236220</xdr:colOff>
          <xdr:row>9</xdr:row>
          <xdr:rowOff>182880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7</xdr:row>
          <xdr:rowOff>83820</xdr:rowOff>
        </xdr:from>
        <xdr:to>
          <xdr:col>6</xdr:col>
          <xdr:colOff>228600</xdr:colOff>
          <xdr:row>9</xdr:row>
          <xdr:rowOff>7620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7</xdr:row>
          <xdr:rowOff>30480</xdr:rowOff>
        </xdr:from>
        <xdr:to>
          <xdr:col>6</xdr:col>
          <xdr:colOff>38100</xdr:colOff>
          <xdr:row>8</xdr:row>
          <xdr:rowOff>144780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44;&#1077;&#1090;&#1080;/Downloads/&#1055;&#1088;&#1086;&#1090;&#1086;&#1090;&#1080;&#1087;%20(&#1057;&#1091;&#1074;&#1077;&#1085;&#1080;&#1088;&#1099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Заставка"/>
      <sheetName val="Меню"/>
      <sheetName val="Товары"/>
      <sheetName val="Продажи"/>
      <sheetName val="Поставки"/>
      <sheetName val="Поставщики"/>
      <sheetName val="Сотрудники"/>
      <sheetName val="Начисление зп"/>
      <sheetName val="TestNDFL"/>
      <sheetName val="Test2"/>
      <sheetName val="Отчеты"/>
      <sheetName val="Доступ"/>
      <sheetName val="Заказ"/>
      <sheetName val="Архив продаж"/>
      <sheetName val="Варианты отчетов"/>
    </sheetNames>
    <sheetDataSet>
      <sheetData sheetId="0"/>
      <sheetData sheetId="1"/>
      <sheetData sheetId="2">
        <row r="3">
          <cell r="B3">
            <v>1</v>
          </cell>
          <cell r="C3" t="str">
            <v>Лапти липовые</v>
          </cell>
          <cell r="D3">
            <v>2</v>
          </cell>
          <cell r="E3">
            <v>100</v>
          </cell>
          <cell r="F3">
            <v>0.1</v>
          </cell>
          <cell r="G3">
            <v>1</v>
          </cell>
          <cell r="H3" t="str">
            <v>Лапти липовые.jpg</v>
          </cell>
        </row>
        <row r="4">
          <cell r="B4">
            <v>2</v>
          </cell>
          <cell r="C4" t="str">
            <v>Лапти дубовые</v>
          </cell>
          <cell r="D4">
            <v>1</v>
          </cell>
          <cell r="E4">
            <v>200</v>
          </cell>
          <cell r="F4">
            <v>0.2</v>
          </cell>
          <cell r="G4">
            <v>1</v>
          </cell>
          <cell r="H4" t="str">
            <v>Лапти дубовые.jpg</v>
          </cell>
        </row>
        <row r="5">
          <cell r="B5">
            <v>3</v>
          </cell>
          <cell r="C5" t="str">
            <v>Галоши</v>
          </cell>
          <cell r="D5">
            <v>2</v>
          </cell>
          <cell r="E5">
            <v>150</v>
          </cell>
          <cell r="F5">
            <v>0.1</v>
          </cell>
          <cell r="G5">
            <v>2</v>
          </cell>
          <cell r="H5" t="str">
            <v>Галоши.jpg</v>
          </cell>
        </row>
        <row r="6">
          <cell r="B6">
            <v>4</v>
          </cell>
          <cell r="C6" t="str">
            <v>Валенки</v>
          </cell>
          <cell r="D6">
            <v>2</v>
          </cell>
          <cell r="E6">
            <v>300</v>
          </cell>
          <cell r="F6">
            <v>0.1</v>
          </cell>
          <cell r="G6">
            <v>3</v>
          </cell>
          <cell r="H6" t="str">
            <v>Валенки.jpg</v>
          </cell>
        </row>
        <row r="7">
          <cell r="B7">
            <v>5</v>
          </cell>
          <cell r="C7" t="str">
            <v>Кепка a ’la Lenin</v>
          </cell>
          <cell r="D7">
            <v>2</v>
          </cell>
          <cell r="E7">
            <v>400</v>
          </cell>
          <cell r="F7">
            <v>0.1</v>
          </cell>
          <cell r="G7">
            <v>4</v>
          </cell>
          <cell r="H7" t="str">
            <v>Кепка a ’la Lenin.jpg</v>
          </cell>
        </row>
        <row r="8">
          <cell r="B8">
            <v>6</v>
          </cell>
          <cell r="C8" t="str">
            <v>Кепка a 'la Luzkov</v>
          </cell>
          <cell r="D8">
            <v>1</v>
          </cell>
          <cell r="E8">
            <v>500</v>
          </cell>
          <cell r="F8">
            <v>0.2</v>
          </cell>
          <cell r="G8">
            <v>4</v>
          </cell>
          <cell r="H8" t="str">
            <v>Кепка a 'la Luzkov.jpg</v>
          </cell>
        </row>
        <row r="9">
          <cell r="B9">
            <v>7</v>
          </cell>
          <cell r="C9" t="str">
            <v>Матрешка</v>
          </cell>
          <cell r="D9">
            <v>1</v>
          </cell>
          <cell r="E9">
            <v>200</v>
          </cell>
          <cell r="F9">
            <v>0.1</v>
          </cell>
          <cell r="G9">
            <v>3</v>
          </cell>
          <cell r="H9" t="str">
            <v>Матрешка.jpg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id="3" name="Справочник_товары" displayName="Справочник_товары" ref="C11:J21" totalsRowShown="0" headerRowDxfId="20" headerRowBorderDxfId="19" tableBorderDxfId="18">
  <autoFilter ref="C11:J21"/>
  <tableColumns count="8">
    <tableColumn id="1" name="Столбец1" dataDxfId="17"/>
    <tableColumn id="2" name="Столбец2" dataDxfId="16"/>
    <tableColumn id="3" name="Столбец3" dataDxfId="15"/>
    <tableColumn id="4" name="Столбец4" dataDxfId="14"/>
    <tableColumn id="5" name="Столбец5" dataDxfId="13"/>
    <tableColumn id="6" name="Столбец6" dataDxfId="12"/>
    <tableColumn id="7" name="Столбец7" dataDxfId="11"/>
    <tableColumn id="8" name="Столбец8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Данные_продаж" displayName="Данные_продаж" ref="D11:K321" totalsRowShown="0" headerRowDxfId="9" dataDxfId="7" headerRowBorderDxfId="8" tableBorderDxfId="6">
  <autoFilter ref="D11:K321"/>
  <sortState ref="D12:K321">
    <sortCondition ref="G12:G321"/>
  </sortState>
  <tableColumns count="8">
    <tableColumn id="1" name="№ заказа"/>
    <tableColumn id="2" name="Дата продажи" dataDxfId="5"/>
    <tableColumn id="3" name="Код товара" dataDxfId="4"/>
    <tableColumn id="4" name="Наименование" dataDxfId="3">
      <calculatedColumnFormula>VLOOKUP(F12,имя,2)</calculatedColumnFormula>
    </tableColumn>
    <tableColumn id="5" name="Количество" dataDxfId="2"/>
    <tableColumn id="6" name="Цена" dataDxfId="1">
      <calculatedColumnFormula xml:space="preserve"> VLOOKUP(F12, имя,4) * (1 + VLOOKUP(F12, имя,5))</calculatedColumnFormula>
    </tableColumn>
    <tableColumn id="7" name="Сумма" dataDxfId="0">
      <calculatedColumnFormula xml:space="preserve"> H12 * I12</calculatedColumnFormula>
    </tableColumn>
    <tableColumn id="8" name="Поставщик">
      <calculatedColumnFormula>VLOOKUP(F12,имя,6)</calculatedColumnFormula>
    </tableColumn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control" Target="../activeX/activeX5.xml"/><Relationship Id="rId18" Type="http://schemas.openxmlformats.org/officeDocument/2006/relationships/image" Target="../media/image12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9.emf"/><Relationship Id="rId17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6" Type="http://schemas.openxmlformats.org/officeDocument/2006/relationships/image" Target="../media/image11.emf"/><Relationship Id="rId20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6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8.emf"/><Relationship Id="rId19" Type="http://schemas.openxmlformats.org/officeDocument/2006/relationships/control" Target="../activeX/activeX8.xml"/><Relationship Id="rId4" Type="http://schemas.openxmlformats.org/officeDocument/2006/relationships/image" Target="../media/image5.jpeg"/><Relationship Id="rId9" Type="http://schemas.openxmlformats.org/officeDocument/2006/relationships/control" Target="../activeX/activeX3.xml"/><Relationship Id="rId14" Type="http://schemas.openxmlformats.org/officeDocument/2006/relationships/image" Target="../media/image10.emf"/><Relationship Id="rId22" Type="http://schemas.openxmlformats.org/officeDocument/2006/relationships/image" Target="../media/image1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15.emf"/><Relationship Id="rId4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control" Target="../activeX/activeX11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17.emf"/><Relationship Id="rId5" Type="http://schemas.openxmlformats.org/officeDocument/2006/relationships/control" Target="../activeX/activeX12.xml"/><Relationship Id="rId4" Type="http://schemas.openxmlformats.org/officeDocument/2006/relationships/image" Target="../media/image16.emf"/><Relationship Id="rId9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8.emf"/><Relationship Id="rId4" Type="http://schemas.openxmlformats.org/officeDocument/2006/relationships/control" Target="../activeX/activeX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1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image" Target="../media/image2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showGridLines="0" showRowColHeaders="0" workbookViewId="0">
      <selection activeCell="C34" sqref="C34"/>
    </sheetView>
  </sheetViews>
  <sheetFormatPr defaultRowHeight="14.4" x14ac:dyDescent="0.3"/>
  <sheetData/>
  <pageMargins left="0.7" right="0.7" top="0.75" bottom="0.75" header="0.3" footer="0.3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4:C21"/>
  <sheetViews>
    <sheetView showGridLines="0" tabSelected="1" zoomScaleNormal="100" workbookViewId="0">
      <selection activeCell="G10" sqref="G10"/>
    </sheetView>
  </sheetViews>
  <sheetFormatPr defaultRowHeight="14.4" x14ac:dyDescent="0.3"/>
  <cols>
    <col min="2" max="2" width="15.5546875" bestFit="1" customWidth="1"/>
  </cols>
  <sheetData>
    <row r="4" spans="2:3" ht="15" thickBot="1" x14ac:dyDescent="0.35"/>
    <row r="5" spans="2:3" ht="18.600000000000001" thickBot="1" x14ac:dyDescent="0.4">
      <c r="B5" s="1" t="s">
        <v>0</v>
      </c>
      <c r="C5" s="2"/>
    </row>
    <row r="6" spans="2:3" ht="18" x14ac:dyDescent="0.35">
      <c r="B6" s="3"/>
      <c r="C6" s="4"/>
    </row>
    <row r="7" spans="2:3" ht="18.600000000000001" thickBot="1" x14ac:dyDescent="0.4">
      <c r="B7" s="5" t="s">
        <v>1</v>
      </c>
      <c r="C7" s="6"/>
    </row>
    <row r="8" spans="2:3" ht="18" x14ac:dyDescent="0.35">
      <c r="B8" s="3"/>
      <c r="C8" s="4"/>
    </row>
    <row r="9" spans="2:3" ht="18.600000000000001" thickBot="1" x14ac:dyDescent="0.4">
      <c r="B9" s="5" t="s">
        <v>2</v>
      </c>
      <c r="C9" s="6"/>
    </row>
    <row r="10" spans="2:3" ht="18" x14ac:dyDescent="0.35">
      <c r="B10" s="3"/>
      <c r="C10" s="4"/>
    </row>
    <row r="11" spans="2:3" ht="18.600000000000001" thickBot="1" x14ac:dyDescent="0.4">
      <c r="B11" s="5" t="s">
        <v>3</v>
      </c>
      <c r="C11" s="6"/>
    </row>
    <row r="12" spans="2:3" ht="18" x14ac:dyDescent="0.35">
      <c r="B12" s="3"/>
      <c r="C12" s="4"/>
    </row>
    <row r="13" spans="2:3" ht="18.600000000000001" thickBot="1" x14ac:dyDescent="0.4">
      <c r="B13" s="5" t="s">
        <v>4</v>
      </c>
      <c r="C13" s="6"/>
    </row>
    <row r="14" spans="2:3" ht="18" x14ac:dyDescent="0.35">
      <c r="B14" s="3"/>
      <c r="C14" s="4"/>
    </row>
    <row r="15" spans="2:3" ht="18.600000000000001" thickBot="1" x14ac:dyDescent="0.4">
      <c r="B15" s="7" t="s">
        <v>6</v>
      </c>
      <c r="C15" s="8"/>
    </row>
    <row r="16" spans="2:3" ht="18" x14ac:dyDescent="0.35">
      <c r="B16" s="3"/>
      <c r="C16" s="4"/>
    </row>
    <row r="17" spans="2:3" ht="18.600000000000001" thickBot="1" x14ac:dyDescent="0.4">
      <c r="B17" s="5" t="s">
        <v>5</v>
      </c>
      <c r="C17" s="6"/>
    </row>
    <row r="18" spans="2:3" ht="18" x14ac:dyDescent="0.35">
      <c r="B18" s="7"/>
      <c r="C18" s="8"/>
    </row>
    <row r="19" spans="2:3" ht="18.600000000000001" thickBot="1" x14ac:dyDescent="0.4">
      <c r="B19" s="5" t="s">
        <v>7</v>
      </c>
      <c r="C19" s="6"/>
    </row>
    <row r="20" spans="2:3" ht="18" x14ac:dyDescent="0.35">
      <c r="B20" s="3"/>
      <c r="C20" s="4"/>
    </row>
    <row r="21" spans="2:3" ht="18.600000000000001" thickBot="1" x14ac:dyDescent="0.4">
      <c r="B21" s="5" t="s">
        <v>8</v>
      </c>
      <c r="C21" s="6"/>
    </row>
  </sheetData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2058" r:id="rId5" name="CommandButton9">
          <controlPr defaultSize="0" autoLine="0" r:id="rId6">
            <anchor moveWithCells="1">
              <from>
                <xdr:col>1</xdr:col>
                <xdr:colOff>22860</xdr:colOff>
                <xdr:row>19</xdr:row>
                <xdr:rowOff>7620</xdr:rowOff>
              </from>
              <to>
                <xdr:col>2</xdr:col>
                <xdr:colOff>586740</xdr:colOff>
                <xdr:row>21</xdr:row>
                <xdr:rowOff>38100</xdr:rowOff>
              </to>
            </anchor>
          </controlPr>
        </control>
      </mc:Choice>
      <mc:Fallback>
        <control shapeId="2058" r:id="rId5" name="CommandButton9"/>
      </mc:Fallback>
    </mc:AlternateContent>
    <mc:AlternateContent xmlns:mc="http://schemas.openxmlformats.org/markup-compatibility/2006">
      <mc:Choice Requires="x14">
        <control shapeId="2049" r:id="rId7" name="CommandButton1">
          <controlPr defaultSize="0" autoLine="0" autoPict="0" r:id="rId8">
            <anchor moveWithCells="1">
              <from>
                <xdr:col>1</xdr:col>
                <xdr:colOff>7620</xdr:colOff>
                <xdr:row>3</xdr:row>
                <xdr:rowOff>190500</xdr:rowOff>
              </from>
              <to>
                <xdr:col>3</xdr:col>
                <xdr:colOff>0</xdr:colOff>
                <xdr:row>5</xdr:row>
                <xdr:rowOff>30480</xdr:rowOff>
              </to>
            </anchor>
          </controlPr>
        </control>
      </mc:Choice>
      <mc:Fallback>
        <control shapeId="2049" r:id="rId7" name="CommandButton1"/>
      </mc:Fallback>
    </mc:AlternateContent>
    <mc:AlternateContent xmlns:mc="http://schemas.openxmlformats.org/markup-compatibility/2006">
      <mc:Choice Requires="x14">
        <control shapeId="2050" r:id="rId9" name="CommandButton2">
          <controlPr defaultSize="0" autoLine="0" autoPict="0" r:id="rId10">
            <anchor moveWithCells="1">
              <from>
                <xdr:col>1</xdr:col>
                <xdr:colOff>0</xdr:colOff>
                <xdr:row>5</xdr:row>
                <xdr:rowOff>7620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9" name="CommandButton2"/>
      </mc:Fallback>
    </mc:AlternateContent>
    <mc:AlternateContent xmlns:mc="http://schemas.openxmlformats.org/markup-compatibility/2006">
      <mc:Choice Requires="x14">
        <control shapeId="2051" r:id="rId11" name="CommandButton3">
          <controlPr defaultSize="0" autoLine="0" autoPict="0" r:id="rId12">
            <anchor moveWithCells="1">
              <from>
                <xdr:col>1</xdr:col>
                <xdr:colOff>0</xdr:colOff>
                <xdr:row>6</xdr:row>
                <xdr:rowOff>213360</xdr:rowOff>
              </from>
              <to>
                <xdr:col>2</xdr:col>
                <xdr:colOff>601980</xdr:colOff>
                <xdr:row>8</xdr:row>
                <xdr:rowOff>228600</xdr:rowOff>
              </to>
            </anchor>
          </controlPr>
        </control>
      </mc:Choice>
      <mc:Fallback>
        <control shapeId="2051" r:id="rId11" name="CommandButton3"/>
      </mc:Fallback>
    </mc:AlternateContent>
    <mc:AlternateContent xmlns:mc="http://schemas.openxmlformats.org/markup-compatibility/2006">
      <mc:Choice Requires="x14">
        <control shapeId="2052" r:id="rId13" name="CommandButton4">
          <controlPr defaultSize="0" autoLine="0" r:id="rId14">
            <anchor moveWithCells="1">
              <from>
                <xdr:col>1</xdr:col>
                <xdr:colOff>22860</xdr:colOff>
                <xdr:row>9</xdr:row>
                <xdr:rowOff>0</xdr:rowOff>
              </from>
              <to>
                <xdr:col>2</xdr:col>
                <xdr:colOff>579120</xdr:colOff>
                <xdr:row>11</xdr:row>
                <xdr:rowOff>22860</xdr:rowOff>
              </to>
            </anchor>
          </controlPr>
        </control>
      </mc:Choice>
      <mc:Fallback>
        <control shapeId="2052" r:id="rId13" name="CommandButton4"/>
      </mc:Fallback>
    </mc:AlternateContent>
    <mc:AlternateContent xmlns:mc="http://schemas.openxmlformats.org/markup-compatibility/2006">
      <mc:Choice Requires="x14">
        <control shapeId="2053" r:id="rId15" name="CommandButton5">
          <controlPr defaultSize="0" autoLine="0" r:id="rId16">
            <anchor moveWithCells="1">
              <from>
                <xdr:col>1</xdr:col>
                <xdr:colOff>22860</xdr:colOff>
                <xdr:row>11</xdr:row>
                <xdr:rowOff>30480</xdr:rowOff>
              </from>
              <to>
                <xdr:col>2</xdr:col>
                <xdr:colOff>579120</xdr:colOff>
                <xdr:row>13</xdr:row>
                <xdr:rowOff>45720</xdr:rowOff>
              </to>
            </anchor>
          </controlPr>
        </control>
      </mc:Choice>
      <mc:Fallback>
        <control shapeId="2053" r:id="rId15" name="CommandButton5"/>
      </mc:Fallback>
    </mc:AlternateContent>
    <mc:AlternateContent xmlns:mc="http://schemas.openxmlformats.org/markup-compatibility/2006">
      <mc:Choice Requires="x14">
        <control shapeId="2054" r:id="rId17" name="CommandButton6">
          <controlPr defaultSize="0" autoLine="0" r:id="rId18">
            <anchor moveWithCells="1">
              <from>
                <xdr:col>1</xdr:col>
                <xdr:colOff>22860</xdr:colOff>
                <xdr:row>13</xdr:row>
                <xdr:rowOff>22860</xdr:rowOff>
              </from>
              <to>
                <xdr:col>2</xdr:col>
                <xdr:colOff>594360</xdr:colOff>
                <xdr:row>15</xdr:row>
                <xdr:rowOff>53340</xdr:rowOff>
              </to>
            </anchor>
          </controlPr>
        </control>
      </mc:Choice>
      <mc:Fallback>
        <control shapeId="2054" r:id="rId17" name="CommandButton6"/>
      </mc:Fallback>
    </mc:AlternateContent>
    <mc:AlternateContent xmlns:mc="http://schemas.openxmlformats.org/markup-compatibility/2006">
      <mc:Choice Requires="x14">
        <control shapeId="2055" r:id="rId19" name="CommandButton7">
          <controlPr defaultSize="0" autoLine="0" autoPict="0" r:id="rId20">
            <anchor moveWithCells="1">
              <from>
                <xdr:col>1</xdr:col>
                <xdr:colOff>0</xdr:colOff>
                <xdr:row>15</xdr:row>
                <xdr:rowOff>22860</xdr:rowOff>
              </from>
              <to>
                <xdr:col>3</xdr:col>
                <xdr:colOff>0</xdr:colOff>
                <xdr:row>17</xdr:row>
                <xdr:rowOff>22860</xdr:rowOff>
              </to>
            </anchor>
          </controlPr>
        </control>
      </mc:Choice>
      <mc:Fallback>
        <control shapeId="2055" r:id="rId19" name="CommandButton7"/>
      </mc:Fallback>
    </mc:AlternateContent>
    <mc:AlternateContent xmlns:mc="http://schemas.openxmlformats.org/markup-compatibility/2006">
      <mc:Choice Requires="x14">
        <control shapeId="2057" r:id="rId21" name="CommandButton8">
          <controlPr defaultSize="0" autoLine="0" r:id="rId22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579120</xdr:colOff>
                <xdr:row>19</xdr:row>
                <xdr:rowOff>30480</xdr:rowOff>
              </to>
            </anchor>
          </controlPr>
        </control>
      </mc:Choice>
      <mc:Fallback>
        <control shapeId="2057" r:id="rId21" name="CommandButton8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C11:J21"/>
  <sheetViews>
    <sheetView topLeftCell="A7" workbookViewId="0">
      <selection activeCell="C7" sqref="C7"/>
    </sheetView>
  </sheetViews>
  <sheetFormatPr defaultRowHeight="14.4" x14ac:dyDescent="0.3"/>
  <cols>
    <col min="3" max="5" width="13" customWidth="1"/>
    <col min="6" max="6" width="15.5546875" bestFit="1" customWidth="1"/>
    <col min="7" max="7" width="13" customWidth="1"/>
    <col min="8" max="8" width="14.5546875" bestFit="1" customWidth="1"/>
    <col min="9" max="9" width="13" customWidth="1"/>
    <col min="10" max="10" width="15.5546875" bestFit="1" customWidth="1"/>
  </cols>
  <sheetData>
    <row r="11" spans="3:10" ht="16.5" customHeight="1" thickBot="1" x14ac:dyDescent="0.35">
      <c r="C11" s="11" t="s">
        <v>29</v>
      </c>
      <c r="D11" s="11" t="s">
        <v>30</v>
      </c>
      <c r="E11" s="12" t="s">
        <v>31</v>
      </c>
      <c r="F11" s="12" t="s">
        <v>32</v>
      </c>
      <c r="G11" s="12" t="s">
        <v>33</v>
      </c>
      <c r="H11" s="12" t="s">
        <v>34</v>
      </c>
      <c r="I11" s="12" t="s">
        <v>35</v>
      </c>
      <c r="J11" s="29" t="s">
        <v>36</v>
      </c>
    </row>
    <row r="12" spans="3:10" ht="15" customHeight="1" thickBot="1" x14ac:dyDescent="0.35">
      <c r="C12" s="9"/>
      <c r="D12" s="9" t="s">
        <v>9</v>
      </c>
      <c r="E12" s="10" t="s">
        <v>10</v>
      </c>
      <c r="F12" s="10" t="s">
        <v>11</v>
      </c>
      <c r="G12" s="10" t="s">
        <v>12</v>
      </c>
      <c r="H12" s="10" t="s">
        <v>13</v>
      </c>
      <c r="I12" s="10" t="s">
        <v>14</v>
      </c>
      <c r="J12" s="24" t="s">
        <v>15</v>
      </c>
    </row>
    <row r="13" spans="3:10" ht="15" customHeight="1" thickBot="1" x14ac:dyDescent="0.35">
      <c r="C13" s="11">
        <v>1</v>
      </c>
      <c r="D13" s="11"/>
      <c r="E13" s="12"/>
      <c r="F13" s="13"/>
      <c r="G13" s="13"/>
      <c r="H13" s="13"/>
      <c r="I13" s="13"/>
      <c r="J13" s="25"/>
    </row>
    <row r="14" spans="3:10" ht="15" customHeight="1" x14ac:dyDescent="0.3">
      <c r="C14" s="22">
        <v>2</v>
      </c>
      <c r="D14" s="18"/>
      <c r="E14" s="14" t="s">
        <v>16</v>
      </c>
      <c r="F14" s="20" t="s">
        <v>18</v>
      </c>
      <c r="G14" s="20" t="s">
        <v>19</v>
      </c>
      <c r="H14" s="20" t="s">
        <v>20</v>
      </c>
      <c r="I14" s="20" t="s">
        <v>21</v>
      </c>
      <c r="J14" s="26" t="s">
        <v>16</v>
      </c>
    </row>
    <row r="15" spans="3:10" ht="15" customHeight="1" thickBot="1" x14ac:dyDescent="0.35">
      <c r="C15" s="11"/>
      <c r="D15" s="19"/>
      <c r="E15" s="15" t="s">
        <v>17</v>
      </c>
      <c r="F15" s="21"/>
      <c r="G15" s="21"/>
      <c r="H15" s="21"/>
      <c r="I15" s="21"/>
      <c r="J15" s="27" t="s">
        <v>22</v>
      </c>
    </row>
    <row r="16" spans="3:10" ht="15" customHeight="1" thickBot="1" x14ac:dyDescent="0.35">
      <c r="C16" s="11">
        <v>3</v>
      </c>
      <c r="D16" s="11"/>
      <c r="E16" s="16">
        <v>1</v>
      </c>
      <c r="F16" s="13" t="s">
        <v>23</v>
      </c>
      <c r="G16" s="16">
        <v>2</v>
      </c>
      <c r="H16" s="16">
        <v>100</v>
      </c>
      <c r="I16" s="17">
        <v>0.1</v>
      </c>
      <c r="J16" s="28">
        <v>1</v>
      </c>
    </row>
    <row r="17" spans="3:10" ht="15" customHeight="1" thickBot="1" x14ac:dyDescent="0.35">
      <c r="C17" s="11">
        <v>4</v>
      </c>
      <c r="D17" s="11"/>
      <c r="E17" s="16">
        <v>2</v>
      </c>
      <c r="F17" s="13" t="s">
        <v>24</v>
      </c>
      <c r="G17" s="16">
        <v>1</v>
      </c>
      <c r="H17" s="16">
        <v>200</v>
      </c>
      <c r="I17" s="17">
        <v>0.2</v>
      </c>
      <c r="J17" s="28">
        <v>1</v>
      </c>
    </row>
    <row r="18" spans="3:10" ht="15" customHeight="1" thickBot="1" x14ac:dyDescent="0.35">
      <c r="C18" s="11">
        <v>5</v>
      </c>
      <c r="D18" s="11"/>
      <c r="E18" s="16">
        <v>3</v>
      </c>
      <c r="F18" s="13" t="s">
        <v>25</v>
      </c>
      <c r="G18" s="16">
        <v>2</v>
      </c>
      <c r="H18" s="16">
        <v>150</v>
      </c>
      <c r="I18" s="17">
        <v>0.1</v>
      </c>
      <c r="J18" s="28">
        <v>2</v>
      </c>
    </row>
    <row r="19" spans="3:10" ht="15" customHeight="1" thickBot="1" x14ac:dyDescent="0.35">
      <c r="C19" s="11">
        <v>6</v>
      </c>
      <c r="D19" s="11"/>
      <c r="E19" s="16">
        <v>4</v>
      </c>
      <c r="F19" s="13" t="s">
        <v>26</v>
      </c>
      <c r="G19" s="16">
        <v>2</v>
      </c>
      <c r="H19" s="16">
        <v>300</v>
      </c>
      <c r="I19" s="17">
        <v>0.1</v>
      </c>
      <c r="J19" s="28">
        <v>3</v>
      </c>
    </row>
    <row r="20" spans="3:10" ht="15.75" customHeight="1" thickBot="1" x14ac:dyDescent="0.35">
      <c r="C20" s="11">
        <v>7</v>
      </c>
      <c r="D20" s="11"/>
      <c r="E20" s="16">
        <v>5</v>
      </c>
      <c r="F20" s="13" t="s">
        <v>27</v>
      </c>
      <c r="G20" s="16">
        <v>2</v>
      </c>
      <c r="H20" s="16">
        <v>400</v>
      </c>
      <c r="I20" s="17">
        <v>0.1</v>
      </c>
      <c r="J20" s="28">
        <v>4</v>
      </c>
    </row>
    <row r="21" spans="3:10" ht="15.6" x14ac:dyDescent="0.3">
      <c r="C21" s="23">
        <v>8</v>
      </c>
      <c r="D21" s="23"/>
      <c r="E21" s="30">
        <v>6</v>
      </c>
      <c r="F21" s="31" t="s">
        <v>28</v>
      </c>
      <c r="G21" s="30">
        <v>1</v>
      </c>
      <c r="H21" s="30">
        <v>500</v>
      </c>
      <c r="I21" s="32">
        <v>0.2</v>
      </c>
      <c r="J21" s="33">
        <v>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autoLine="0" r:id="rId5">
            <anchor moveWithCells="1">
              <from>
                <xdr:col>3</xdr:col>
                <xdr:colOff>76200</xdr:colOff>
                <xdr:row>6</xdr:row>
                <xdr:rowOff>76200</xdr:rowOff>
              </from>
              <to>
                <xdr:col>4</xdr:col>
                <xdr:colOff>99060</xdr:colOff>
                <xdr:row>8</xdr:row>
                <xdr:rowOff>15240</xdr:rowOff>
              </to>
            </anchor>
          </controlPr>
        </control>
      </mc:Choice>
      <mc:Fallback>
        <control shapeId="3073" r:id="rId4" name="CommandButton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D8:V321"/>
  <sheetViews>
    <sheetView workbookViewId="0">
      <selection activeCell="B3" sqref="B3"/>
    </sheetView>
  </sheetViews>
  <sheetFormatPr defaultRowHeight="14.4" x14ac:dyDescent="0.3"/>
  <cols>
    <col min="4" max="4" width="12.44140625" customWidth="1"/>
    <col min="5" max="5" width="17.5546875" customWidth="1"/>
    <col min="6" max="6" width="14.6640625" customWidth="1"/>
    <col min="7" max="7" width="18.5546875" customWidth="1"/>
    <col min="8" max="8" width="15.5546875" customWidth="1"/>
    <col min="9" max="9" width="8.44140625" customWidth="1"/>
    <col min="10" max="10" width="10.109375" customWidth="1"/>
    <col min="11" max="11" width="14.88671875" customWidth="1"/>
    <col min="13" max="13" width="10.109375" bestFit="1" customWidth="1"/>
    <col min="15" max="15" width="0" hidden="1" customWidth="1"/>
  </cols>
  <sheetData>
    <row r="8" spans="4:22" x14ac:dyDescent="0.3">
      <c r="V8" t="s">
        <v>50</v>
      </c>
    </row>
    <row r="9" spans="4:22" x14ac:dyDescent="0.3">
      <c r="V9" t="s">
        <v>51</v>
      </c>
    </row>
    <row r="10" spans="4:22" x14ac:dyDescent="0.3">
      <c r="V10" t="s">
        <v>45</v>
      </c>
    </row>
    <row r="11" spans="4:22" ht="15.6" x14ac:dyDescent="0.3">
      <c r="D11" s="43" t="s">
        <v>37</v>
      </c>
      <c r="E11" s="43" t="s">
        <v>38</v>
      </c>
      <c r="F11" s="43" t="s">
        <v>39</v>
      </c>
      <c r="G11" s="43" t="s">
        <v>18</v>
      </c>
      <c r="H11" s="43" t="s">
        <v>40</v>
      </c>
      <c r="I11" s="43" t="s">
        <v>41</v>
      </c>
      <c r="J11" s="43" t="s">
        <v>42</v>
      </c>
      <c r="K11" s="43" t="s">
        <v>43</v>
      </c>
      <c r="V11" t="s">
        <v>52</v>
      </c>
    </row>
    <row r="12" spans="4:22" ht="15.6" x14ac:dyDescent="0.3">
      <c r="D12">
        <v>309</v>
      </c>
      <c r="E12" s="34">
        <v>43810</v>
      </c>
      <c r="F12" s="35">
        <v>4</v>
      </c>
      <c r="G12" s="35" t="s">
        <v>26</v>
      </c>
      <c r="H12" s="35">
        <v>3</v>
      </c>
      <c r="I12" s="35">
        <v>330</v>
      </c>
      <c r="J12" s="36">
        <v>990</v>
      </c>
      <c r="K12">
        <f t="shared" ref="K12:K75" si="0">VLOOKUP(F12,имя,6)</f>
        <v>3</v>
      </c>
      <c r="V12" t="s">
        <v>53</v>
      </c>
    </row>
    <row r="13" spans="4:22" ht="15.6" x14ac:dyDescent="0.3">
      <c r="D13">
        <v>305</v>
      </c>
      <c r="E13" s="34">
        <v>43810</v>
      </c>
      <c r="F13" s="35">
        <v>4</v>
      </c>
      <c r="G13" s="35" t="s">
        <v>26</v>
      </c>
      <c r="H13" s="35">
        <v>9</v>
      </c>
      <c r="I13" s="35">
        <v>330</v>
      </c>
      <c r="J13" s="36">
        <v>2970</v>
      </c>
      <c r="K13">
        <f t="shared" si="0"/>
        <v>3</v>
      </c>
      <c r="O13">
        <f ca="1">M13+INT(30*RAND())</f>
        <v>0</v>
      </c>
      <c r="V13" t="s">
        <v>54</v>
      </c>
    </row>
    <row r="14" spans="4:22" ht="15.6" x14ac:dyDescent="0.3">
      <c r="D14">
        <v>295</v>
      </c>
      <c r="E14" s="34">
        <v>43707</v>
      </c>
      <c r="F14" s="35">
        <v>4</v>
      </c>
      <c r="G14" s="35" t="str">
        <f>VLOOKUP(F14,имя,2)</f>
        <v>Валенки</v>
      </c>
      <c r="H14" s="35">
        <v>2</v>
      </c>
      <c r="I14" s="35">
        <f xml:space="preserve"> VLOOKUP(F14, имя,4) * (1 + VLOOKUP(F14, имя,5))</f>
        <v>330</v>
      </c>
      <c r="J14" s="36">
        <f xml:space="preserve"> H14 * I14</f>
        <v>660</v>
      </c>
      <c r="K14">
        <f t="shared" si="0"/>
        <v>3</v>
      </c>
      <c r="O14">
        <f t="shared" ref="O14:O76" ca="1" si="1">M14+INT(30*RAND())</f>
        <v>18</v>
      </c>
      <c r="V14">
        <v>0</v>
      </c>
    </row>
    <row r="15" spans="4:22" ht="15.6" x14ac:dyDescent="0.3">
      <c r="D15">
        <v>285</v>
      </c>
      <c r="E15" s="34">
        <v>43706</v>
      </c>
      <c r="F15" s="35">
        <v>4</v>
      </c>
      <c r="G15" s="35" t="s">
        <v>26</v>
      </c>
      <c r="H15" s="35">
        <v>7</v>
      </c>
      <c r="I15" s="35">
        <v>330</v>
      </c>
      <c r="J15" s="36">
        <v>2310</v>
      </c>
      <c r="K15">
        <f t="shared" si="0"/>
        <v>3</v>
      </c>
      <c r="O15">
        <f t="shared" ca="1" si="1"/>
        <v>25</v>
      </c>
    </row>
    <row r="16" spans="4:22" ht="15.6" x14ac:dyDescent="0.3">
      <c r="D16">
        <v>284</v>
      </c>
      <c r="E16" s="34">
        <v>43706</v>
      </c>
      <c r="F16" s="35">
        <v>4</v>
      </c>
      <c r="G16" s="35" t="str">
        <f t="shared" ref="G16:G61" si="2">VLOOKUP(F16,имя,2)</f>
        <v>Валенки</v>
      </c>
      <c r="H16" s="35">
        <v>7</v>
      </c>
      <c r="I16" s="35">
        <f t="shared" ref="I16:I61" si="3" xml:space="preserve"> VLOOKUP(F16, имя,4) * (1 + VLOOKUP(F16, имя,5))</f>
        <v>330</v>
      </c>
      <c r="J16" s="36">
        <f t="shared" ref="J16:J61" si="4" xml:space="preserve"> H16 * I16</f>
        <v>2310</v>
      </c>
      <c r="K16">
        <f t="shared" si="0"/>
        <v>3</v>
      </c>
      <c r="O16">
        <f t="shared" ca="1" si="1"/>
        <v>2</v>
      </c>
    </row>
    <row r="17" spans="4:15" ht="15.6" x14ac:dyDescent="0.3">
      <c r="D17">
        <v>283</v>
      </c>
      <c r="E17" s="34">
        <v>43706</v>
      </c>
      <c r="F17" s="35">
        <v>4</v>
      </c>
      <c r="G17" s="35" t="str">
        <f t="shared" si="2"/>
        <v>Валенки</v>
      </c>
      <c r="H17" s="35">
        <v>9</v>
      </c>
      <c r="I17" s="35">
        <f t="shared" si="3"/>
        <v>330</v>
      </c>
      <c r="J17" s="36">
        <f t="shared" si="4"/>
        <v>2970</v>
      </c>
      <c r="K17">
        <f t="shared" si="0"/>
        <v>3</v>
      </c>
      <c r="O17">
        <f t="shared" ca="1" si="1"/>
        <v>4</v>
      </c>
    </row>
    <row r="18" spans="4:15" ht="15.6" x14ac:dyDescent="0.3">
      <c r="D18">
        <v>275</v>
      </c>
      <c r="E18" s="34">
        <v>43705</v>
      </c>
      <c r="F18" s="35">
        <v>4</v>
      </c>
      <c r="G18" s="35" t="str">
        <f t="shared" si="2"/>
        <v>Валенки</v>
      </c>
      <c r="H18" s="35">
        <v>4</v>
      </c>
      <c r="I18" s="35">
        <f t="shared" si="3"/>
        <v>330</v>
      </c>
      <c r="J18" s="36">
        <f t="shared" si="4"/>
        <v>1320</v>
      </c>
      <c r="K18">
        <f t="shared" si="0"/>
        <v>3</v>
      </c>
      <c r="O18">
        <f t="shared" ca="1" si="1"/>
        <v>12</v>
      </c>
    </row>
    <row r="19" spans="4:15" ht="15.6" x14ac:dyDescent="0.3">
      <c r="D19">
        <v>273</v>
      </c>
      <c r="E19" s="34">
        <v>43705</v>
      </c>
      <c r="F19" s="35">
        <v>4</v>
      </c>
      <c r="G19" s="35" t="str">
        <f t="shared" si="2"/>
        <v>Валенки</v>
      </c>
      <c r="H19" s="35">
        <v>2</v>
      </c>
      <c r="I19" s="35">
        <f t="shared" si="3"/>
        <v>330</v>
      </c>
      <c r="J19" s="36">
        <f t="shared" si="4"/>
        <v>660</v>
      </c>
      <c r="K19">
        <f t="shared" si="0"/>
        <v>3</v>
      </c>
      <c r="O19">
        <f t="shared" ca="1" si="1"/>
        <v>21</v>
      </c>
    </row>
    <row r="20" spans="4:15" ht="15.6" x14ac:dyDescent="0.3">
      <c r="D20">
        <v>254</v>
      </c>
      <c r="E20" s="34">
        <v>43703</v>
      </c>
      <c r="F20" s="35">
        <v>4</v>
      </c>
      <c r="G20" s="35" t="str">
        <f t="shared" si="2"/>
        <v>Валенки</v>
      </c>
      <c r="H20" s="35">
        <v>6</v>
      </c>
      <c r="I20" s="35">
        <f t="shared" si="3"/>
        <v>330</v>
      </c>
      <c r="J20" s="36">
        <f t="shared" si="4"/>
        <v>1980</v>
      </c>
      <c r="K20">
        <f t="shared" si="0"/>
        <v>3</v>
      </c>
      <c r="O20">
        <f t="shared" ca="1" si="1"/>
        <v>4</v>
      </c>
    </row>
    <row r="21" spans="4:15" ht="15.6" x14ac:dyDescent="0.3">
      <c r="D21">
        <v>246</v>
      </c>
      <c r="E21" s="34">
        <v>43702</v>
      </c>
      <c r="F21" s="35">
        <v>4</v>
      </c>
      <c r="G21" s="35" t="str">
        <f t="shared" si="2"/>
        <v>Валенки</v>
      </c>
      <c r="H21" s="35">
        <v>8</v>
      </c>
      <c r="I21" s="35">
        <f t="shared" si="3"/>
        <v>330</v>
      </c>
      <c r="J21" s="36">
        <f t="shared" si="4"/>
        <v>2640</v>
      </c>
      <c r="K21">
        <f t="shared" si="0"/>
        <v>3</v>
      </c>
      <c r="O21">
        <f t="shared" ca="1" si="1"/>
        <v>27</v>
      </c>
    </row>
    <row r="22" spans="4:15" ht="15.6" x14ac:dyDescent="0.3">
      <c r="D22">
        <v>245</v>
      </c>
      <c r="E22" s="34">
        <v>43702</v>
      </c>
      <c r="F22" s="35">
        <v>4</v>
      </c>
      <c r="G22" s="35" t="str">
        <f t="shared" si="2"/>
        <v>Валенки</v>
      </c>
      <c r="H22" s="35">
        <v>8</v>
      </c>
      <c r="I22" s="35">
        <f t="shared" si="3"/>
        <v>330</v>
      </c>
      <c r="J22" s="36">
        <f t="shared" si="4"/>
        <v>2640</v>
      </c>
      <c r="K22">
        <f t="shared" si="0"/>
        <v>3</v>
      </c>
      <c r="O22">
        <f t="shared" ca="1" si="1"/>
        <v>27</v>
      </c>
    </row>
    <row r="23" spans="4:15" ht="15.6" x14ac:dyDescent="0.3">
      <c r="D23">
        <v>244</v>
      </c>
      <c r="E23" s="34">
        <v>43702</v>
      </c>
      <c r="F23" s="35">
        <v>4</v>
      </c>
      <c r="G23" s="35" t="str">
        <f t="shared" si="2"/>
        <v>Валенки</v>
      </c>
      <c r="H23" s="35">
        <v>6</v>
      </c>
      <c r="I23" s="35">
        <f t="shared" si="3"/>
        <v>330</v>
      </c>
      <c r="J23" s="36">
        <f t="shared" si="4"/>
        <v>1980</v>
      </c>
      <c r="K23">
        <f t="shared" si="0"/>
        <v>3</v>
      </c>
      <c r="O23">
        <f t="shared" ca="1" si="1"/>
        <v>20</v>
      </c>
    </row>
    <row r="24" spans="4:15" ht="15.6" x14ac:dyDescent="0.3">
      <c r="D24">
        <v>226</v>
      </c>
      <c r="E24" s="34">
        <v>43700</v>
      </c>
      <c r="F24" s="35">
        <v>4</v>
      </c>
      <c r="G24" s="35" t="str">
        <f t="shared" si="2"/>
        <v>Валенки</v>
      </c>
      <c r="H24" s="35">
        <v>2</v>
      </c>
      <c r="I24" s="35">
        <f t="shared" si="3"/>
        <v>330</v>
      </c>
      <c r="J24" s="36">
        <f t="shared" si="4"/>
        <v>660</v>
      </c>
      <c r="K24">
        <f t="shared" si="0"/>
        <v>3</v>
      </c>
      <c r="O24">
        <f t="shared" ca="1" si="1"/>
        <v>29</v>
      </c>
    </row>
    <row r="25" spans="4:15" ht="15.6" x14ac:dyDescent="0.3">
      <c r="D25">
        <v>214</v>
      </c>
      <c r="E25" s="34">
        <v>43699</v>
      </c>
      <c r="F25" s="35">
        <v>4</v>
      </c>
      <c r="G25" s="35" t="str">
        <f t="shared" si="2"/>
        <v>Валенки</v>
      </c>
      <c r="H25" s="35">
        <v>5</v>
      </c>
      <c r="I25" s="35">
        <f t="shared" si="3"/>
        <v>330</v>
      </c>
      <c r="J25" s="36">
        <f t="shared" si="4"/>
        <v>1650</v>
      </c>
      <c r="K25">
        <f t="shared" si="0"/>
        <v>3</v>
      </c>
      <c r="O25">
        <f t="shared" ca="1" si="1"/>
        <v>1</v>
      </c>
    </row>
    <row r="26" spans="4:15" ht="15.6" x14ac:dyDescent="0.3">
      <c r="D26">
        <v>204</v>
      </c>
      <c r="E26" s="34">
        <v>43698</v>
      </c>
      <c r="F26" s="35">
        <v>4</v>
      </c>
      <c r="G26" s="35" t="str">
        <f t="shared" si="2"/>
        <v>Валенки</v>
      </c>
      <c r="H26" s="35">
        <v>7</v>
      </c>
      <c r="I26" s="35">
        <f t="shared" si="3"/>
        <v>330</v>
      </c>
      <c r="J26" s="36">
        <f t="shared" si="4"/>
        <v>2310</v>
      </c>
      <c r="K26">
        <f t="shared" si="0"/>
        <v>3</v>
      </c>
      <c r="O26">
        <f t="shared" ca="1" si="1"/>
        <v>0</v>
      </c>
    </row>
    <row r="27" spans="4:15" ht="15.6" x14ac:dyDescent="0.3">
      <c r="D27">
        <v>193</v>
      </c>
      <c r="E27" s="34">
        <v>43697</v>
      </c>
      <c r="F27" s="35">
        <v>4</v>
      </c>
      <c r="G27" s="35" t="str">
        <f t="shared" si="2"/>
        <v>Валенки</v>
      </c>
      <c r="H27" s="35">
        <v>7</v>
      </c>
      <c r="I27" s="35">
        <f t="shared" si="3"/>
        <v>330</v>
      </c>
      <c r="J27" s="36">
        <f t="shared" si="4"/>
        <v>2310</v>
      </c>
      <c r="K27">
        <f t="shared" si="0"/>
        <v>3</v>
      </c>
      <c r="O27">
        <f t="shared" ca="1" si="1"/>
        <v>20</v>
      </c>
    </row>
    <row r="28" spans="4:15" ht="15.6" x14ac:dyDescent="0.3">
      <c r="D28">
        <v>192</v>
      </c>
      <c r="E28" s="34">
        <v>43697</v>
      </c>
      <c r="F28" s="35">
        <v>4</v>
      </c>
      <c r="G28" s="35" t="str">
        <f t="shared" si="2"/>
        <v>Валенки</v>
      </c>
      <c r="H28" s="35">
        <v>4</v>
      </c>
      <c r="I28" s="35">
        <f t="shared" si="3"/>
        <v>330</v>
      </c>
      <c r="J28" s="36">
        <f t="shared" si="4"/>
        <v>1320</v>
      </c>
      <c r="K28">
        <f t="shared" si="0"/>
        <v>3</v>
      </c>
      <c r="O28">
        <f t="shared" ca="1" si="1"/>
        <v>11</v>
      </c>
    </row>
    <row r="29" spans="4:15" ht="15.6" x14ac:dyDescent="0.3">
      <c r="D29">
        <v>191</v>
      </c>
      <c r="E29" s="34">
        <v>43697</v>
      </c>
      <c r="F29" s="35">
        <v>4</v>
      </c>
      <c r="G29" s="35" t="str">
        <f t="shared" si="2"/>
        <v>Валенки</v>
      </c>
      <c r="H29" s="35">
        <v>6</v>
      </c>
      <c r="I29" s="35">
        <f t="shared" si="3"/>
        <v>330</v>
      </c>
      <c r="J29" s="36">
        <f t="shared" si="4"/>
        <v>1980</v>
      </c>
      <c r="K29">
        <f t="shared" si="0"/>
        <v>3</v>
      </c>
      <c r="O29">
        <f t="shared" ca="1" si="1"/>
        <v>11</v>
      </c>
    </row>
    <row r="30" spans="4:15" ht="15.6" x14ac:dyDescent="0.3">
      <c r="D30">
        <v>187</v>
      </c>
      <c r="E30" s="34">
        <v>43696</v>
      </c>
      <c r="F30" s="35">
        <v>4</v>
      </c>
      <c r="G30" s="35" t="str">
        <f t="shared" si="2"/>
        <v>Валенки</v>
      </c>
      <c r="H30" s="35">
        <v>9</v>
      </c>
      <c r="I30" s="35">
        <f t="shared" si="3"/>
        <v>330</v>
      </c>
      <c r="J30" s="36">
        <f t="shared" si="4"/>
        <v>2970</v>
      </c>
      <c r="K30">
        <f t="shared" si="0"/>
        <v>3</v>
      </c>
      <c r="O30">
        <f t="shared" ca="1" si="1"/>
        <v>29</v>
      </c>
    </row>
    <row r="31" spans="4:15" ht="15.6" x14ac:dyDescent="0.3">
      <c r="D31">
        <v>165</v>
      </c>
      <c r="E31" s="34">
        <v>43695</v>
      </c>
      <c r="F31" s="35">
        <v>4</v>
      </c>
      <c r="G31" s="35" t="str">
        <f t="shared" si="2"/>
        <v>Валенки</v>
      </c>
      <c r="H31" s="35">
        <v>5</v>
      </c>
      <c r="I31" s="35">
        <f t="shared" si="3"/>
        <v>330</v>
      </c>
      <c r="J31" s="36">
        <f t="shared" si="4"/>
        <v>1650</v>
      </c>
      <c r="K31">
        <f t="shared" si="0"/>
        <v>3</v>
      </c>
      <c r="O31">
        <f t="shared" ca="1" si="1"/>
        <v>28</v>
      </c>
    </row>
    <row r="32" spans="4:15" ht="15.6" x14ac:dyDescent="0.3">
      <c r="D32">
        <v>164</v>
      </c>
      <c r="E32" s="34">
        <v>43695</v>
      </c>
      <c r="F32" s="35">
        <v>4</v>
      </c>
      <c r="G32" s="35" t="str">
        <f t="shared" si="2"/>
        <v>Валенки</v>
      </c>
      <c r="H32" s="35">
        <v>5</v>
      </c>
      <c r="I32" s="35">
        <f t="shared" si="3"/>
        <v>330</v>
      </c>
      <c r="J32" s="36">
        <f t="shared" si="4"/>
        <v>1650</v>
      </c>
      <c r="K32">
        <f t="shared" si="0"/>
        <v>3</v>
      </c>
      <c r="O32">
        <f t="shared" ca="1" si="1"/>
        <v>8</v>
      </c>
    </row>
    <row r="33" spans="4:15" ht="15.6" x14ac:dyDescent="0.3">
      <c r="D33">
        <v>163</v>
      </c>
      <c r="E33" s="34">
        <v>43695</v>
      </c>
      <c r="F33" s="35">
        <v>4</v>
      </c>
      <c r="G33" s="35" t="str">
        <f t="shared" si="2"/>
        <v>Валенки</v>
      </c>
      <c r="H33" s="35">
        <v>5</v>
      </c>
      <c r="I33" s="35">
        <f t="shared" si="3"/>
        <v>330</v>
      </c>
      <c r="J33" s="36">
        <f t="shared" si="4"/>
        <v>1650</v>
      </c>
      <c r="K33">
        <f t="shared" si="0"/>
        <v>3</v>
      </c>
      <c r="O33">
        <f t="shared" ca="1" si="1"/>
        <v>15</v>
      </c>
    </row>
    <row r="34" spans="4:15" ht="15.6" x14ac:dyDescent="0.3">
      <c r="D34">
        <v>152</v>
      </c>
      <c r="E34" s="34">
        <v>43694</v>
      </c>
      <c r="F34" s="35">
        <v>4</v>
      </c>
      <c r="G34" s="35" t="str">
        <f t="shared" si="2"/>
        <v>Валенки</v>
      </c>
      <c r="H34" s="35">
        <v>7</v>
      </c>
      <c r="I34" s="35">
        <f t="shared" si="3"/>
        <v>330</v>
      </c>
      <c r="J34" s="36">
        <f t="shared" si="4"/>
        <v>2310</v>
      </c>
      <c r="K34">
        <f t="shared" si="0"/>
        <v>3</v>
      </c>
      <c r="O34">
        <f t="shared" ca="1" si="1"/>
        <v>16</v>
      </c>
    </row>
    <row r="35" spans="4:15" ht="15.6" x14ac:dyDescent="0.3">
      <c r="D35">
        <v>131</v>
      </c>
      <c r="E35" s="34">
        <v>43692</v>
      </c>
      <c r="F35" s="35">
        <v>4</v>
      </c>
      <c r="G35" s="35" t="str">
        <f t="shared" si="2"/>
        <v>Валенки</v>
      </c>
      <c r="H35" s="35">
        <v>3</v>
      </c>
      <c r="I35" s="35">
        <f t="shared" si="3"/>
        <v>330</v>
      </c>
      <c r="J35" s="36">
        <f t="shared" si="4"/>
        <v>990</v>
      </c>
      <c r="K35">
        <f t="shared" si="0"/>
        <v>3</v>
      </c>
      <c r="O35">
        <f t="shared" ca="1" si="1"/>
        <v>16</v>
      </c>
    </row>
    <row r="36" spans="4:15" ht="15.6" x14ac:dyDescent="0.3">
      <c r="D36">
        <v>130</v>
      </c>
      <c r="E36" s="34">
        <v>43692</v>
      </c>
      <c r="F36" s="35">
        <v>4</v>
      </c>
      <c r="G36" s="35" t="str">
        <f t="shared" si="2"/>
        <v>Валенки</v>
      </c>
      <c r="H36" s="35">
        <v>8</v>
      </c>
      <c r="I36" s="35">
        <f t="shared" si="3"/>
        <v>330</v>
      </c>
      <c r="J36" s="36">
        <f t="shared" si="4"/>
        <v>2640</v>
      </c>
      <c r="K36">
        <f t="shared" si="0"/>
        <v>3</v>
      </c>
      <c r="O36">
        <f t="shared" ca="1" si="1"/>
        <v>10</v>
      </c>
    </row>
    <row r="37" spans="4:15" ht="15.6" x14ac:dyDescent="0.3">
      <c r="D37">
        <v>116</v>
      </c>
      <c r="E37" s="34">
        <v>43691</v>
      </c>
      <c r="F37" s="35">
        <v>4</v>
      </c>
      <c r="G37" s="35" t="str">
        <f t="shared" si="2"/>
        <v>Валенки</v>
      </c>
      <c r="H37" s="35">
        <v>1</v>
      </c>
      <c r="I37" s="35">
        <f t="shared" si="3"/>
        <v>330</v>
      </c>
      <c r="J37" s="36">
        <f t="shared" si="4"/>
        <v>330</v>
      </c>
      <c r="K37">
        <f t="shared" si="0"/>
        <v>3</v>
      </c>
      <c r="O37">
        <f t="shared" ca="1" si="1"/>
        <v>22</v>
      </c>
    </row>
    <row r="38" spans="4:15" ht="15.6" x14ac:dyDescent="0.3">
      <c r="D38">
        <v>113</v>
      </c>
      <c r="E38" s="34">
        <v>43690</v>
      </c>
      <c r="F38" s="35">
        <v>4</v>
      </c>
      <c r="G38" s="35" t="str">
        <f t="shared" si="2"/>
        <v>Валенки</v>
      </c>
      <c r="H38" s="35">
        <v>7</v>
      </c>
      <c r="I38" s="35">
        <f t="shared" si="3"/>
        <v>330</v>
      </c>
      <c r="J38" s="36">
        <f t="shared" si="4"/>
        <v>2310</v>
      </c>
      <c r="K38">
        <f t="shared" si="0"/>
        <v>3</v>
      </c>
      <c r="O38">
        <f t="shared" ca="1" si="1"/>
        <v>12</v>
      </c>
    </row>
    <row r="39" spans="4:15" ht="15.6" x14ac:dyDescent="0.3">
      <c r="D39">
        <v>112</v>
      </c>
      <c r="E39" s="34">
        <v>43690</v>
      </c>
      <c r="F39" s="35">
        <v>4</v>
      </c>
      <c r="G39" s="35" t="str">
        <f t="shared" si="2"/>
        <v>Валенки</v>
      </c>
      <c r="H39" s="35">
        <v>5</v>
      </c>
      <c r="I39" s="35">
        <f t="shared" si="3"/>
        <v>330</v>
      </c>
      <c r="J39" s="36">
        <f t="shared" si="4"/>
        <v>1650</v>
      </c>
      <c r="K39">
        <f t="shared" si="0"/>
        <v>3</v>
      </c>
      <c r="O39">
        <f t="shared" ca="1" si="1"/>
        <v>28</v>
      </c>
    </row>
    <row r="40" spans="4:15" ht="15.6" x14ac:dyDescent="0.3">
      <c r="D40">
        <v>111</v>
      </c>
      <c r="E40" s="34">
        <v>43690</v>
      </c>
      <c r="F40" s="35">
        <v>4</v>
      </c>
      <c r="G40" s="35" t="str">
        <f t="shared" si="2"/>
        <v>Валенки</v>
      </c>
      <c r="H40" s="35">
        <v>8</v>
      </c>
      <c r="I40" s="35">
        <f t="shared" si="3"/>
        <v>330</v>
      </c>
      <c r="J40" s="36">
        <f t="shared" si="4"/>
        <v>2640</v>
      </c>
      <c r="K40">
        <f t="shared" si="0"/>
        <v>3</v>
      </c>
      <c r="O40">
        <f t="shared" ca="1" si="1"/>
        <v>6</v>
      </c>
    </row>
    <row r="41" spans="4:15" ht="15.6" x14ac:dyDescent="0.3">
      <c r="D41">
        <v>101</v>
      </c>
      <c r="E41" s="34">
        <v>43689</v>
      </c>
      <c r="F41" s="35">
        <v>4</v>
      </c>
      <c r="G41" s="35" t="str">
        <f t="shared" si="2"/>
        <v>Валенки</v>
      </c>
      <c r="H41" s="35">
        <v>9</v>
      </c>
      <c r="I41" s="35">
        <f t="shared" si="3"/>
        <v>330</v>
      </c>
      <c r="J41" s="36">
        <f t="shared" si="4"/>
        <v>2970</v>
      </c>
      <c r="K41">
        <f t="shared" si="0"/>
        <v>3</v>
      </c>
      <c r="O41">
        <f t="shared" ca="1" si="1"/>
        <v>24</v>
      </c>
    </row>
    <row r="42" spans="4:15" ht="15.6" x14ac:dyDescent="0.3">
      <c r="D42">
        <v>93</v>
      </c>
      <c r="E42" s="34">
        <v>43688</v>
      </c>
      <c r="F42" s="35">
        <v>4</v>
      </c>
      <c r="G42" s="35" t="str">
        <f t="shared" si="2"/>
        <v>Валенки</v>
      </c>
      <c r="H42" s="35">
        <v>4</v>
      </c>
      <c r="I42" s="35">
        <f t="shared" si="3"/>
        <v>330</v>
      </c>
      <c r="J42" s="36">
        <f t="shared" si="4"/>
        <v>1320</v>
      </c>
      <c r="K42">
        <f t="shared" si="0"/>
        <v>3</v>
      </c>
      <c r="O42">
        <f t="shared" ca="1" si="1"/>
        <v>7</v>
      </c>
    </row>
    <row r="43" spans="4:15" ht="15.6" x14ac:dyDescent="0.3">
      <c r="D43">
        <v>79</v>
      </c>
      <c r="E43" s="34">
        <v>43686</v>
      </c>
      <c r="F43" s="35">
        <v>4</v>
      </c>
      <c r="G43" s="35" t="str">
        <f t="shared" si="2"/>
        <v>Валенки</v>
      </c>
      <c r="H43" s="35">
        <v>3</v>
      </c>
      <c r="I43" s="35">
        <f t="shared" si="3"/>
        <v>330</v>
      </c>
      <c r="J43" s="36">
        <f t="shared" si="4"/>
        <v>990</v>
      </c>
      <c r="K43">
        <f t="shared" si="0"/>
        <v>3</v>
      </c>
      <c r="O43">
        <f t="shared" ca="1" si="1"/>
        <v>21</v>
      </c>
    </row>
    <row r="44" spans="4:15" ht="15.6" x14ac:dyDescent="0.3">
      <c r="D44">
        <v>78</v>
      </c>
      <c r="E44" s="34">
        <v>43686</v>
      </c>
      <c r="F44" s="35">
        <v>4</v>
      </c>
      <c r="G44" s="35" t="str">
        <f t="shared" si="2"/>
        <v>Валенки</v>
      </c>
      <c r="H44" s="35">
        <v>2</v>
      </c>
      <c r="I44" s="35">
        <f t="shared" si="3"/>
        <v>330</v>
      </c>
      <c r="J44" s="36">
        <f t="shared" si="4"/>
        <v>660</v>
      </c>
      <c r="K44">
        <f t="shared" si="0"/>
        <v>3</v>
      </c>
      <c r="O44">
        <f t="shared" ca="1" si="1"/>
        <v>9</v>
      </c>
    </row>
    <row r="45" spans="4:15" ht="15.6" x14ac:dyDescent="0.3">
      <c r="D45">
        <v>77</v>
      </c>
      <c r="E45" s="34">
        <v>43686</v>
      </c>
      <c r="F45" s="35">
        <v>4</v>
      </c>
      <c r="G45" s="35" t="str">
        <f t="shared" si="2"/>
        <v>Валенки</v>
      </c>
      <c r="H45" s="35">
        <v>6</v>
      </c>
      <c r="I45" s="35">
        <f t="shared" si="3"/>
        <v>330</v>
      </c>
      <c r="J45" s="36">
        <f t="shared" si="4"/>
        <v>1980</v>
      </c>
      <c r="K45">
        <f t="shared" si="0"/>
        <v>3</v>
      </c>
      <c r="O45">
        <f t="shared" ca="1" si="1"/>
        <v>3</v>
      </c>
    </row>
    <row r="46" spans="4:15" ht="15.6" x14ac:dyDescent="0.3">
      <c r="D46">
        <v>71</v>
      </c>
      <c r="E46" s="34">
        <v>43685</v>
      </c>
      <c r="F46" s="35">
        <v>4</v>
      </c>
      <c r="G46" s="35" t="str">
        <f t="shared" si="2"/>
        <v>Валенки</v>
      </c>
      <c r="H46" s="35">
        <v>7</v>
      </c>
      <c r="I46" s="35">
        <f t="shared" si="3"/>
        <v>330</v>
      </c>
      <c r="J46" s="36">
        <f t="shared" si="4"/>
        <v>2310</v>
      </c>
      <c r="K46">
        <f t="shared" si="0"/>
        <v>3</v>
      </c>
      <c r="O46">
        <f t="shared" ca="1" si="1"/>
        <v>24</v>
      </c>
    </row>
    <row r="47" spans="4:15" ht="15.6" x14ac:dyDescent="0.3">
      <c r="D47">
        <v>70</v>
      </c>
      <c r="E47" s="34">
        <v>43685</v>
      </c>
      <c r="F47" s="35">
        <v>4</v>
      </c>
      <c r="G47" s="35" t="str">
        <f t="shared" si="2"/>
        <v>Валенки</v>
      </c>
      <c r="H47" s="35">
        <v>8</v>
      </c>
      <c r="I47" s="35">
        <f t="shared" si="3"/>
        <v>330</v>
      </c>
      <c r="J47" s="36">
        <f t="shared" si="4"/>
        <v>2640</v>
      </c>
      <c r="K47">
        <f t="shared" si="0"/>
        <v>3</v>
      </c>
      <c r="O47">
        <f t="shared" ca="1" si="1"/>
        <v>2</v>
      </c>
    </row>
    <row r="48" spans="4:15" ht="15.6" x14ac:dyDescent="0.3">
      <c r="D48">
        <v>64</v>
      </c>
      <c r="E48" s="34">
        <v>43684</v>
      </c>
      <c r="F48" s="35">
        <v>4</v>
      </c>
      <c r="G48" s="35" t="str">
        <f t="shared" si="2"/>
        <v>Валенки</v>
      </c>
      <c r="H48" s="35">
        <v>8</v>
      </c>
      <c r="I48" s="35">
        <f t="shared" si="3"/>
        <v>330</v>
      </c>
      <c r="J48" s="36">
        <f t="shared" si="4"/>
        <v>2640</v>
      </c>
      <c r="K48">
        <f t="shared" si="0"/>
        <v>3</v>
      </c>
      <c r="O48">
        <f t="shared" ca="1" si="1"/>
        <v>10</v>
      </c>
    </row>
    <row r="49" spans="4:15" ht="15.6" x14ac:dyDescent="0.3">
      <c r="D49">
        <v>56</v>
      </c>
      <c r="E49" s="34">
        <v>43683</v>
      </c>
      <c r="F49" s="35">
        <v>4</v>
      </c>
      <c r="G49" s="35" t="str">
        <f t="shared" si="2"/>
        <v>Валенки</v>
      </c>
      <c r="H49" s="35">
        <v>8</v>
      </c>
      <c r="I49" s="35">
        <f t="shared" si="3"/>
        <v>330</v>
      </c>
      <c r="J49" s="36">
        <f t="shared" si="4"/>
        <v>2640</v>
      </c>
      <c r="K49">
        <f t="shared" si="0"/>
        <v>3</v>
      </c>
      <c r="O49">
        <f t="shared" ca="1" si="1"/>
        <v>29</v>
      </c>
    </row>
    <row r="50" spans="4:15" ht="15.6" x14ac:dyDescent="0.3">
      <c r="D50">
        <v>46</v>
      </c>
      <c r="E50" s="34">
        <v>43682</v>
      </c>
      <c r="F50" s="35">
        <v>4</v>
      </c>
      <c r="G50" s="35" t="str">
        <f t="shared" si="2"/>
        <v>Валенки</v>
      </c>
      <c r="H50" s="35">
        <v>1</v>
      </c>
      <c r="I50" s="35">
        <f t="shared" si="3"/>
        <v>330</v>
      </c>
      <c r="J50" s="36">
        <f t="shared" si="4"/>
        <v>330</v>
      </c>
      <c r="K50">
        <f t="shared" si="0"/>
        <v>3</v>
      </c>
      <c r="O50">
        <f t="shared" ca="1" si="1"/>
        <v>17</v>
      </c>
    </row>
    <row r="51" spans="4:15" ht="15.6" x14ac:dyDescent="0.3">
      <c r="D51">
        <v>45</v>
      </c>
      <c r="E51" s="34">
        <v>43682</v>
      </c>
      <c r="F51" s="35">
        <v>4</v>
      </c>
      <c r="G51" s="35" t="str">
        <f t="shared" si="2"/>
        <v>Валенки</v>
      </c>
      <c r="H51" s="35">
        <v>7</v>
      </c>
      <c r="I51" s="35">
        <f t="shared" si="3"/>
        <v>330</v>
      </c>
      <c r="J51" s="36">
        <f t="shared" si="4"/>
        <v>2310</v>
      </c>
      <c r="K51">
        <f t="shared" si="0"/>
        <v>3</v>
      </c>
      <c r="O51">
        <f t="shared" ca="1" si="1"/>
        <v>12</v>
      </c>
    </row>
    <row r="52" spans="4:15" ht="15.6" x14ac:dyDescent="0.3">
      <c r="D52">
        <v>37</v>
      </c>
      <c r="E52" s="34">
        <v>43681</v>
      </c>
      <c r="F52" s="35">
        <v>4</v>
      </c>
      <c r="G52" s="35" t="str">
        <f t="shared" si="2"/>
        <v>Валенки</v>
      </c>
      <c r="H52" s="35">
        <v>1</v>
      </c>
      <c r="I52" s="35">
        <f t="shared" si="3"/>
        <v>330</v>
      </c>
      <c r="J52" s="36">
        <f t="shared" si="4"/>
        <v>330</v>
      </c>
      <c r="K52">
        <f t="shared" si="0"/>
        <v>3</v>
      </c>
      <c r="O52">
        <f t="shared" ca="1" si="1"/>
        <v>14</v>
      </c>
    </row>
    <row r="53" spans="4:15" ht="15.6" x14ac:dyDescent="0.3">
      <c r="D53">
        <v>36</v>
      </c>
      <c r="E53" s="34">
        <v>43681</v>
      </c>
      <c r="F53" s="35">
        <v>4</v>
      </c>
      <c r="G53" s="35" t="str">
        <f t="shared" si="2"/>
        <v>Валенки</v>
      </c>
      <c r="H53" s="35">
        <v>1</v>
      </c>
      <c r="I53" s="35">
        <f t="shared" si="3"/>
        <v>330</v>
      </c>
      <c r="J53" s="36">
        <f t="shared" si="4"/>
        <v>330</v>
      </c>
      <c r="K53">
        <f t="shared" si="0"/>
        <v>3</v>
      </c>
      <c r="O53">
        <f t="shared" ca="1" si="1"/>
        <v>9</v>
      </c>
    </row>
    <row r="54" spans="4:15" ht="15.6" x14ac:dyDescent="0.3">
      <c r="D54">
        <v>24</v>
      </c>
      <c r="E54" s="34">
        <v>43680</v>
      </c>
      <c r="F54" s="35">
        <v>4</v>
      </c>
      <c r="G54" s="35" t="str">
        <f t="shared" si="2"/>
        <v>Валенки</v>
      </c>
      <c r="H54" s="35">
        <v>7</v>
      </c>
      <c r="I54" s="35">
        <f t="shared" si="3"/>
        <v>330</v>
      </c>
      <c r="J54" s="36">
        <f t="shared" si="4"/>
        <v>2310</v>
      </c>
      <c r="K54">
        <f t="shared" si="0"/>
        <v>3</v>
      </c>
      <c r="O54">
        <f t="shared" ca="1" si="1"/>
        <v>9</v>
      </c>
    </row>
    <row r="55" spans="4:15" ht="15.6" x14ac:dyDescent="0.3">
      <c r="D55">
        <v>23</v>
      </c>
      <c r="E55" s="34">
        <v>43680</v>
      </c>
      <c r="F55" s="35">
        <v>4</v>
      </c>
      <c r="G55" s="35" t="str">
        <f t="shared" si="2"/>
        <v>Валенки</v>
      </c>
      <c r="H55" s="35">
        <v>3</v>
      </c>
      <c r="I55" s="35">
        <f t="shared" si="3"/>
        <v>330</v>
      </c>
      <c r="J55" s="36">
        <f t="shared" si="4"/>
        <v>990</v>
      </c>
      <c r="K55">
        <f t="shared" si="0"/>
        <v>3</v>
      </c>
      <c r="O55">
        <f t="shared" ca="1" si="1"/>
        <v>7</v>
      </c>
    </row>
    <row r="56" spans="4:15" ht="15.6" x14ac:dyDescent="0.3">
      <c r="D56">
        <v>22</v>
      </c>
      <c r="E56" s="34">
        <v>43680</v>
      </c>
      <c r="F56" s="35">
        <v>4</v>
      </c>
      <c r="G56" s="35" t="str">
        <f t="shared" si="2"/>
        <v>Валенки</v>
      </c>
      <c r="H56" s="35">
        <v>4</v>
      </c>
      <c r="I56" s="35">
        <f t="shared" si="3"/>
        <v>330</v>
      </c>
      <c r="J56" s="36">
        <f t="shared" si="4"/>
        <v>1320</v>
      </c>
      <c r="K56">
        <f t="shared" si="0"/>
        <v>3</v>
      </c>
      <c r="O56">
        <f t="shared" ca="1" si="1"/>
        <v>19</v>
      </c>
    </row>
    <row r="57" spans="4:15" ht="15.6" x14ac:dyDescent="0.3">
      <c r="D57">
        <v>21</v>
      </c>
      <c r="E57" s="34">
        <v>43680</v>
      </c>
      <c r="F57" s="35">
        <v>4</v>
      </c>
      <c r="G57" s="35" t="str">
        <f t="shared" si="2"/>
        <v>Валенки</v>
      </c>
      <c r="H57" s="35">
        <v>6</v>
      </c>
      <c r="I57" s="35">
        <f t="shared" si="3"/>
        <v>330</v>
      </c>
      <c r="J57" s="36">
        <f t="shared" si="4"/>
        <v>1980</v>
      </c>
      <c r="K57">
        <f t="shared" si="0"/>
        <v>3</v>
      </c>
      <c r="O57">
        <f t="shared" ca="1" si="1"/>
        <v>11</v>
      </c>
    </row>
    <row r="58" spans="4:15" ht="15.6" x14ac:dyDescent="0.3">
      <c r="D58">
        <v>13</v>
      </c>
      <c r="E58" s="34">
        <v>43679</v>
      </c>
      <c r="F58" s="35">
        <v>4</v>
      </c>
      <c r="G58" s="35" t="str">
        <f t="shared" si="2"/>
        <v>Валенки</v>
      </c>
      <c r="H58" s="35">
        <v>1</v>
      </c>
      <c r="I58" s="35">
        <f t="shared" si="3"/>
        <v>330</v>
      </c>
      <c r="J58" s="36">
        <f t="shared" si="4"/>
        <v>330</v>
      </c>
      <c r="K58">
        <f t="shared" si="0"/>
        <v>3</v>
      </c>
      <c r="O58">
        <f t="shared" ca="1" si="1"/>
        <v>6</v>
      </c>
    </row>
    <row r="59" spans="4:15" ht="15.6" x14ac:dyDescent="0.3">
      <c r="D59">
        <v>12</v>
      </c>
      <c r="E59" s="34">
        <v>43679</v>
      </c>
      <c r="F59" s="35">
        <v>4</v>
      </c>
      <c r="G59" s="35" t="str">
        <f t="shared" si="2"/>
        <v>Валенки</v>
      </c>
      <c r="H59" s="35">
        <v>5</v>
      </c>
      <c r="I59" s="35">
        <f t="shared" si="3"/>
        <v>330</v>
      </c>
      <c r="J59" s="36">
        <f t="shared" si="4"/>
        <v>1650</v>
      </c>
      <c r="K59">
        <f t="shared" si="0"/>
        <v>3</v>
      </c>
      <c r="O59">
        <f t="shared" ca="1" si="1"/>
        <v>5</v>
      </c>
    </row>
    <row r="60" spans="4:15" ht="15.6" x14ac:dyDescent="0.3">
      <c r="D60">
        <v>11</v>
      </c>
      <c r="E60" s="34">
        <v>43679</v>
      </c>
      <c r="F60" s="35">
        <v>4</v>
      </c>
      <c r="G60" s="35" t="str">
        <f t="shared" si="2"/>
        <v>Валенки</v>
      </c>
      <c r="H60" s="35">
        <v>9</v>
      </c>
      <c r="I60" s="35">
        <f t="shared" si="3"/>
        <v>330</v>
      </c>
      <c r="J60" s="36">
        <f t="shared" si="4"/>
        <v>2970</v>
      </c>
      <c r="K60">
        <f t="shared" si="0"/>
        <v>3</v>
      </c>
      <c r="O60">
        <f t="shared" ca="1" si="1"/>
        <v>2</v>
      </c>
    </row>
    <row r="61" spans="4:15" ht="15.6" x14ac:dyDescent="0.3">
      <c r="D61">
        <v>2</v>
      </c>
      <c r="E61" s="34">
        <v>43678</v>
      </c>
      <c r="F61" s="35">
        <v>4</v>
      </c>
      <c r="G61" s="35" t="str">
        <f t="shared" si="2"/>
        <v>Валенки</v>
      </c>
      <c r="H61" s="35">
        <v>3</v>
      </c>
      <c r="I61" s="35">
        <f t="shared" si="3"/>
        <v>330</v>
      </c>
      <c r="J61" s="36">
        <f t="shared" si="4"/>
        <v>990</v>
      </c>
      <c r="K61">
        <f t="shared" si="0"/>
        <v>3</v>
      </c>
      <c r="O61">
        <f t="shared" ca="1" si="1"/>
        <v>12</v>
      </c>
    </row>
    <row r="62" spans="4:15" ht="15.6" x14ac:dyDescent="0.3">
      <c r="D62">
        <v>303</v>
      </c>
      <c r="E62" s="34">
        <v>43810</v>
      </c>
      <c r="F62" s="35">
        <v>3</v>
      </c>
      <c r="G62" s="35" t="s">
        <v>25</v>
      </c>
      <c r="H62" s="35">
        <v>5</v>
      </c>
      <c r="I62" s="35">
        <v>165</v>
      </c>
      <c r="J62" s="36">
        <v>825</v>
      </c>
      <c r="K62">
        <f t="shared" si="0"/>
        <v>2</v>
      </c>
      <c r="O62">
        <f t="shared" ca="1" si="1"/>
        <v>16</v>
      </c>
    </row>
    <row r="63" spans="4:15" ht="15.6" x14ac:dyDescent="0.3">
      <c r="D63">
        <v>302</v>
      </c>
      <c r="E63" s="34">
        <v>43810</v>
      </c>
      <c r="F63" s="35">
        <v>3</v>
      </c>
      <c r="G63" s="35" t="s">
        <v>25</v>
      </c>
      <c r="H63" s="35">
        <v>5</v>
      </c>
      <c r="I63" s="35">
        <v>165</v>
      </c>
      <c r="J63" s="36">
        <v>825</v>
      </c>
      <c r="K63">
        <f t="shared" si="0"/>
        <v>2</v>
      </c>
      <c r="O63">
        <f t="shared" ca="1" si="1"/>
        <v>28</v>
      </c>
    </row>
    <row r="64" spans="4:15" ht="15.6" x14ac:dyDescent="0.3">
      <c r="D64">
        <v>301</v>
      </c>
      <c r="E64" s="34">
        <v>43810</v>
      </c>
      <c r="F64" s="35">
        <v>3</v>
      </c>
      <c r="G64" s="35" t="s">
        <v>25</v>
      </c>
      <c r="H64" s="35">
        <v>5</v>
      </c>
      <c r="I64" s="35">
        <v>165</v>
      </c>
      <c r="J64" s="36">
        <v>825</v>
      </c>
      <c r="K64">
        <f t="shared" si="0"/>
        <v>2</v>
      </c>
      <c r="O64">
        <f t="shared" ca="1" si="1"/>
        <v>0</v>
      </c>
    </row>
    <row r="65" spans="4:15" ht="15.6" x14ac:dyDescent="0.3">
      <c r="D65">
        <v>281</v>
      </c>
      <c r="E65" s="34">
        <v>43706</v>
      </c>
      <c r="F65" s="35">
        <v>3</v>
      </c>
      <c r="G65" s="35" t="str">
        <f t="shared" ref="G65:G111" si="5">VLOOKUP(F65,имя,2)</f>
        <v>Галоши</v>
      </c>
      <c r="H65" s="35">
        <v>1</v>
      </c>
      <c r="I65" s="35">
        <f t="shared" ref="I65:I111" si="6" xml:space="preserve"> VLOOKUP(F65, имя,4) * (1 + VLOOKUP(F65, имя,5))</f>
        <v>165</v>
      </c>
      <c r="J65" s="36">
        <f t="shared" ref="J65:J111" si="7" xml:space="preserve"> H65 * I65</f>
        <v>165</v>
      </c>
      <c r="K65">
        <f t="shared" si="0"/>
        <v>2</v>
      </c>
      <c r="O65">
        <f t="shared" ca="1" si="1"/>
        <v>27</v>
      </c>
    </row>
    <row r="66" spans="4:15" ht="15.6" x14ac:dyDescent="0.3">
      <c r="D66">
        <v>280</v>
      </c>
      <c r="E66" s="34">
        <v>43706</v>
      </c>
      <c r="F66" s="35">
        <v>3</v>
      </c>
      <c r="G66" s="35" t="str">
        <f t="shared" si="5"/>
        <v>Галоши</v>
      </c>
      <c r="H66" s="35">
        <v>5</v>
      </c>
      <c r="I66" s="35">
        <f t="shared" si="6"/>
        <v>165</v>
      </c>
      <c r="J66" s="36">
        <f t="shared" si="7"/>
        <v>825</v>
      </c>
      <c r="K66">
        <f t="shared" si="0"/>
        <v>2</v>
      </c>
      <c r="O66">
        <f t="shared" ca="1" si="1"/>
        <v>20</v>
      </c>
    </row>
    <row r="67" spans="4:15" ht="15.6" x14ac:dyDescent="0.3">
      <c r="D67">
        <v>270</v>
      </c>
      <c r="E67" s="34">
        <v>43705</v>
      </c>
      <c r="F67" s="35">
        <v>3</v>
      </c>
      <c r="G67" s="35" t="str">
        <f t="shared" si="5"/>
        <v>Галоши</v>
      </c>
      <c r="H67" s="35">
        <v>5</v>
      </c>
      <c r="I67" s="35">
        <f t="shared" si="6"/>
        <v>165</v>
      </c>
      <c r="J67" s="36">
        <f t="shared" si="7"/>
        <v>825</v>
      </c>
      <c r="K67">
        <f t="shared" si="0"/>
        <v>2</v>
      </c>
      <c r="O67">
        <f t="shared" ca="1" si="1"/>
        <v>8</v>
      </c>
    </row>
    <row r="68" spans="4:15" ht="15.6" x14ac:dyDescent="0.3">
      <c r="D68">
        <v>269</v>
      </c>
      <c r="E68" s="34">
        <v>43705</v>
      </c>
      <c r="F68" s="35">
        <v>3</v>
      </c>
      <c r="G68" s="35" t="str">
        <f t="shared" si="5"/>
        <v>Галоши</v>
      </c>
      <c r="H68" s="35">
        <v>6</v>
      </c>
      <c r="I68" s="35">
        <f t="shared" si="6"/>
        <v>165</v>
      </c>
      <c r="J68" s="36">
        <f t="shared" si="7"/>
        <v>990</v>
      </c>
      <c r="K68">
        <f t="shared" si="0"/>
        <v>2</v>
      </c>
      <c r="O68">
        <f t="shared" ca="1" si="1"/>
        <v>7</v>
      </c>
    </row>
    <row r="69" spans="4:15" ht="15.6" x14ac:dyDescent="0.3">
      <c r="D69">
        <v>259</v>
      </c>
      <c r="E69" s="34">
        <v>43704</v>
      </c>
      <c r="F69" s="35">
        <v>3</v>
      </c>
      <c r="G69" s="35" t="str">
        <f t="shared" si="5"/>
        <v>Галоши</v>
      </c>
      <c r="H69" s="35">
        <v>5</v>
      </c>
      <c r="I69" s="35">
        <f t="shared" si="6"/>
        <v>165</v>
      </c>
      <c r="J69" s="36">
        <f t="shared" si="7"/>
        <v>825</v>
      </c>
      <c r="K69">
        <f t="shared" si="0"/>
        <v>2</v>
      </c>
      <c r="O69">
        <f t="shared" ca="1" si="1"/>
        <v>0</v>
      </c>
    </row>
    <row r="70" spans="4:15" ht="15.6" x14ac:dyDescent="0.3">
      <c r="D70">
        <v>258</v>
      </c>
      <c r="E70" s="34">
        <v>43704</v>
      </c>
      <c r="F70" s="35">
        <v>3</v>
      </c>
      <c r="G70" s="35" t="str">
        <f t="shared" si="5"/>
        <v>Галоши</v>
      </c>
      <c r="H70" s="35">
        <v>1</v>
      </c>
      <c r="I70" s="35">
        <f t="shared" si="6"/>
        <v>165</v>
      </c>
      <c r="J70" s="36">
        <f t="shared" si="7"/>
        <v>165</v>
      </c>
      <c r="K70">
        <f t="shared" si="0"/>
        <v>2</v>
      </c>
      <c r="O70">
        <f t="shared" ca="1" si="1"/>
        <v>10</v>
      </c>
    </row>
    <row r="71" spans="4:15" ht="15.6" x14ac:dyDescent="0.3">
      <c r="D71">
        <v>241</v>
      </c>
      <c r="E71" s="34">
        <v>43702</v>
      </c>
      <c r="F71" s="35">
        <v>3</v>
      </c>
      <c r="G71" s="35" t="str">
        <f t="shared" si="5"/>
        <v>Галоши</v>
      </c>
      <c r="H71" s="35">
        <v>8</v>
      </c>
      <c r="I71" s="35">
        <f t="shared" si="6"/>
        <v>165</v>
      </c>
      <c r="J71" s="36">
        <f t="shared" si="7"/>
        <v>1320</v>
      </c>
      <c r="K71">
        <f t="shared" si="0"/>
        <v>2</v>
      </c>
      <c r="O71">
        <f t="shared" ca="1" si="1"/>
        <v>20</v>
      </c>
    </row>
    <row r="72" spans="4:15" ht="15.6" x14ac:dyDescent="0.3">
      <c r="D72">
        <v>240</v>
      </c>
      <c r="E72" s="34">
        <v>43702</v>
      </c>
      <c r="F72" s="35">
        <v>3</v>
      </c>
      <c r="G72" s="35" t="str">
        <f t="shared" si="5"/>
        <v>Галоши</v>
      </c>
      <c r="H72" s="35">
        <v>3</v>
      </c>
      <c r="I72" s="35">
        <f t="shared" si="6"/>
        <v>165</v>
      </c>
      <c r="J72" s="36">
        <f t="shared" si="7"/>
        <v>495</v>
      </c>
      <c r="K72">
        <f t="shared" si="0"/>
        <v>2</v>
      </c>
      <c r="O72">
        <f t="shared" ca="1" si="1"/>
        <v>12</v>
      </c>
    </row>
    <row r="73" spans="4:15" ht="15.6" x14ac:dyDescent="0.3">
      <c r="D73">
        <v>221</v>
      </c>
      <c r="E73" s="34">
        <v>43700</v>
      </c>
      <c r="F73" s="35">
        <v>3</v>
      </c>
      <c r="G73" s="35" t="str">
        <f t="shared" si="5"/>
        <v>Галоши</v>
      </c>
      <c r="H73" s="35">
        <v>2</v>
      </c>
      <c r="I73" s="35">
        <f t="shared" si="6"/>
        <v>165</v>
      </c>
      <c r="J73" s="36">
        <f t="shared" si="7"/>
        <v>330</v>
      </c>
      <c r="K73">
        <f t="shared" si="0"/>
        <v>2</v>
      </c>
      <c r="O73">
        <f t="shared" ca="1" si="1"/>
        <v>0</v>
      </c>
    </row>
    <row r="74" spans="4:15" ht="15.6" x14ac:dyDescent="0.3">
      <c r="D74">
        <v>220</v>
      </c>
      <c r="E74" s="34">
        <v>43700</v>
      </c>
      <c r="F74" s="35">
        <v>3</v>
      </c>
      <c r="G74" s="35" t="str">
        <f t="shared" si="5"/>
        <v>Галоши</v>
      </c>
      <c r="H74" s="35">
        <v>8</v>
      </c>
      <c r="I74" s="35">
        <f t="shared" si="6"/>
        <v>165</v>
      </c>
      <c r="J74" s="36">
        <f t="shared" si="7"/>
        <v>1320</v>
      </c>
      <c r="K74">
        <f t="shared" si="0"/>
        <v>2</v>
      </c>
      <c r="O74">
        <f t="shared" ca="1" si="1"/>
        <v>12</v>
      </c>
    </row>
    <row r="75" spans="4:15" ht="15.6" x14ac:dyDescent="0.3">
      <c r="D75">
        <v>219</v>
      </c>
      <c r="E75" s="34">
        <v>43700</v>
      </c>
      <c r="F75" s="35">
        <v>3</v>
      </c>
      <c r="G75" s="35" t="str">
        <f t="shared" si="5"/>
        <v>Галоши</v>
      </c>
      <c r="H75" s="35">
        <v>4</v>
      </c>
      <c r="I75" s="35">
        <f t="shared" si="6"/>
        <v>165</v>
      </c>
      <c r="J75" s="36">
        <f t="shared" si="7"/>
        <v>660</v>
      </c>
      <c r="K75">
        <f t="shared" si="0"/>
        <v>2</v>
      </c>
      <c r="O75">
        <f t="shared" ca="1" si="1"/>
        <v>7</v>
      </c>
    </row>
    <row r="76" spans="4:15" ht="15.6" x14ac:dyDescent="0.3">
      <c r="D76">
        <v>210</v>
      </c>
      <c r="E76" s="34">
        <v>43699</v>
      </c>
      <c r="F76" s="35">
        <v>3</v>
      </c>
      <c r="G76" s="35" t="str">
        <f t="shared" si="5"/>
        <v>Галоши</v>
      </c>
      <c r="H76" s="35">
        <v>4</v>
      </c>
      <c r="I76" s="35">
        <f t="shared" si="6"/>
        <v>165</v>
      </c>
      <c r="J76" s="36">
        <f t="shared" si="7"/>
        <v>660</v>
      </c>
      <c r="K76">
        <f t="shared" ref="K76:K139" si="8">VLOOKUP(F76,имя,6)</f>
        <v>2</v>
      </c>
      <c r="O76">
        <f t="shared" ca="1" si="1"/>
        <v>11</v>
      </c>
    </row>
    <row r="77" spans="4:15" ht="15.6" x14ac:dyDescent="0.3">
      <c r="D77">
        <v>209</v>
      </c>
      <c r="E77" s="34">
        <v>43699</v>
      </c>
      <c r="F77" s="35">
        <v>3</v>
      </c>
      <c r="G77" s="35" t="str">
        <f t="shared" si="5"/>
        <v>Галоши</v>
      </c>
      <c r="H77" s="35">
        <v>9</v>
      </c>
      <c r="I77" s="35">
        <f t="shared" si="6"/>
        <v>165</v>
      </c>
      <c r="J77" s="36">
        <f t="shared" si="7"/>
        <v>1485</v>
      </c>
      <c r="K77">
        <f t="shared" si="8"/>
        <v>2</v>
      </c>
      <c r="O77">
        <f t="shared" ref="O77:O140" ca="1" si="9">M77+INT(30*RAND())</f>
        <v>13</v>
      </c>
    </row>
    <row r="78" spans="4:15" ht="15.6" x14ac:dyDescent="0.3">
      <c r="D78">
        <v>208</v>
      </c>
      <c r="E78" s="34">
        <v>43699</v>
      </c>
      <c r="F78" s="35">
        <v>3</v>
      </c>
      <c r="G78" s="35" t="str">
        <f t="shared" si="5"/>
        <v>Галоши</v>
      </c>
      <c r="H78" s="35">
        <v>2</v>
      </c>
      <c r="I78" s="35">
        <f t="shared" si="6"/>
        <v>165</v>
      </c>
      <c r="J78" s="36">
        <f t="shared" si="7"/>
        <v>330</v>
      </c>
      <c r="K78">
        <f t="shared" si="8"/>
        <v>2</v>
      </c>
      <c r="O78">
        <f t="shared" ca="1" si="9"/>
        <v>29</v>
      </c>
    </row>
    <row r="79" spans="4:15" ht="15.6" x14ac:dyDescent="0.3">
      <c r="D79">
        <v>207</v>
      </c>
      <c r="E79" s="34">
        <v>43699</v>
      </c>
      <c r="F79" s="35">
        <v>3</v>
      </c>
      <c r="G79" s="35" t="str">
        <f t="shared" si="5"/>
        <v>Галоши</v>
      </c>
      <c r="H79" s="35">
        <v>4</v>
      </c>
      <c r="I79" s="35">
        <f t="shared" si="6"/>
        <v>165</v>
      </c>
      <c r="J79" s="36">
        <f t="shared" si="7"/>
        <v>660</v>
      </c>
      <c r="K79">
        <f t="shared" si="8"/>
        <v>2</v>
      </c>
      <c r="O79">
        <f t="shared" ca="1" si="9"/>
        <v>11</v>
      </c>
    </row>
    <row r="80" spans="4:15" ht="15.6" x14ac:dyDescent="0.3">
      <c r="D80">
        <v>203</v>
      </c>
      <c r="E80" s="34">
        <v>43698</v>
      </c>
      <c r="F80" s="35">
        <v>3</v>
      </c>
      <c r="G80" s="35" t="str">
        <f t="shared" si="5"/>
        <v>Галоши</v>
      </c>
      <c r="H80" s="35">
        <v>1</v>
      </c>
      <c r="I80" s="35">
        <f t="shared" si="6"/>
        <v>165</v>
      </c>
      <c r="J80" s="36">
        <f t="shared" si="7"/>
        <v>165</v>
      </c>
      <c r="K80">
        <f t="shared" si="8"/>
        <v>2</v>
      </c>
      <c r="O80">
        <f t="shared" ca="1" si="9"/>
        <v>10</v>
      </c>
    </row>
    <row r="81" spans="4:15" ht="15.6" x14ac:dyDescent="0.3">
      <c r="D81">
        <v>202</v>
      </c>
      <c r="E81" s="34">
        <v>43698</v>
      </c>
      <c r="F81" s="35">
        <v>3</v>
      </c>
      <c r="G81" s="35" t="str">
        <f t="shared" si="5"/>
        <v>Галоши</v>
      </c>
      <c r="H81" s="35">
        <v>4</v>
      </c>
      <c r="I81" s="35">
        <f t="shared" si="6"/>
        <v>165</v>
      </c>
      <c r="J81" s="36">
        <f t="shared" si="7"/>
        <v>660</v>
      </c>
      <c r="K81">
        <f t="shared" si="8"/>
        <v>2</v>
      </c>
      <c r="O81">
        <f t="shared" ca="1" si="9"/>
        <v>13</v>
      </c>
    </row>
    <row r="82" spans="4:15" ht="15.6" x14ac:dyDescent="0.3">
      <c r="D82">
        <v>201</v>
      </c>
      <c r="E82" s="34">
        <v>43698</v>
      </c>
      <c r="F82" s="35">
        <v>3</v>
      </c>
      <c r="G82" s="35" t="str">
        <f t="shared" si="5"/>
        <v>Галоши</v>
      </c>
      <c r="H82" s="35">
        <v>3</v>
      </c>
      <c r="I82" s="35">
        <f t="shared" si="6"/>
        <v>165</v>
      </c>
      <c r="J82" s="36">
        <f t="shared" si="7"/>
        <v>495</v>
      </c>
      <c r="K82">
        <f t="shared" si="8"/>
        <v>2</v>
      </c>
      <c r="O82">
        <f t="shared" ca="1" si="9"/>
        <v>0</v>
      </c>
    </row>
    <row r="83" spans="4:15" ht="15.6" x14ac:dyDescent="0.3">
      <c r="D83">
        <v>190</v>
      </c>
      <c r="E83" s="34">
        <v>43697</v>
      </c>
      <c r="F83" s="35">
        <v>3</v>
      </c>
      <c r="G83" s="35" t="str">
        <f t="shared" si="5"/>
        <v>Галоши</v>
      </c>
      <c r="H83" s="35">
        <v>3</v>
      </c>
      <c r="I83" s="35">
        <f t="shared" si="6"/>
        <v>165</v>
      </c>
      <c r="J83" s="36">
        <f t="shared" si="7"/>
        <v>495</v>
      </c>
      <c r="K83">
        <f t="shared" si="8"/>
        <v>2</v>
      </c>
      <c r="O83">
        <f t="shared" ca="1" si="9"/>
        <v>19</v>
      </c>
    </row>
    <row r="84" spans="4:15" ht="15.6" x14ac:dyDescent="0.3">
      <c r="D84">
        <v>185</v>
      </c>
      <c r="E84" s="34">
        <v>43696</v>
      </c>
      <c r="F84" s="35">
        <v>3</v>
      </c>
      <c r="G84" s="35" t="str">
        <f t="shared" si="5"/>
        <v>Галоши</v>
      </c>
      <c r="H84" s="35">
        <v>7</v>
      </c>
      <c r="I84" s="35">
        <f t="shared" si="6"/>
        <v>165</v>
      </c>
      <c r="J84" s="36">
        <f t="shared" si="7"/>
        <v>1155</v>
      </c>
      <c r="K84">
        <f t="shared" si="8"/>
        <v>2</v>
      </c>
      <c r="O84">
        <f t="shared" ca="1" si="9"/>
        <v>26</v>
      </c>
    </row>
    <row r="85" spans="4:15" ht="15.6" x14ac:dyDescent="0.3">
      <c r="D85">
        <v>184</v>
      </c>
      <c r="E85" s="34">
        <v>43696</v>
      </c>
      <c r="F85" s="35">
        <v>3</v>
      </c>
      <c r="G85" s="35" t="str">
        <f t="shared" si="5"/>
        <v>Галоши</v>
      </c>
      <c r="H85" s="35">
        <v>3</v>
      </c>
      <c r="I85" s="35">
        <f t="shared" si="6"/>
        <v>165</v>
      </c>
      <c r="J85" s="36">
        <f t="shared" si="7"/>
        <v>495</v>
      </c>
      <c r="K85">
        <f t="shared" si="8"/>
        <v>2</v>
      </c>
      <c r="O85">
        <f t="shared" ca="1" si="9"/>
        <v>10</v>
      </c>
    </row>
    <row r="86" spans="4:15" ht="15.6" x14ac:dyDescent="0.3">
      <c r="D86">
        <v>183</v>
      </c>
      <c r="E86" s="34">
        <v>43696</v>
      </c>
      <c r="F86" s="35">
        <v>3</v>
      </c>
      <c r="G86" s="35" t="str">
        <f t="shared" si="5"/>
        <v>Галоши</v>
      </c>
      <c r="H86" s="35">
        <v>6</v>
      </c>
      <c r="I86" s="35">
        <f t="shared" si="6"/>
        <v>165</v>
      </c>
      <c r="J86" s="36">
        <f t="shared" si="7"/>
        <v>990</v>
      </c>
      <c r="K86">
        <f t="shared" si="8"/>
        <v>2</v>
      </c>
      <c r="O86">
        <f t="shared" ca="1" si="9"/>
        <v>13</v>
      </c>
    </row>
    <row r="87" spans="4:15" ht="15.6" x14ac:dyDescent="0.3">
      <c r="D87">
        <v>160</v>
      </c>
      <c r="E87" s="34">
        <v>43695</v>
      </c>
      <c r="F87" s="35">
        <v>3</v>
      </c>
      <c r="G87" s="35" t="str">
        <f t="shared" si="5"/>
        <v>Галоши</v>
      </c>
      <c r="H87" s="35">
        <v>2</v>
      </c>
      <c r="I87" s="35">
        <f t="shared" si="6"/>
        <v>165</v>
      </c>
      <c r="J87" s="36">
        <f t="shared" si="7"/>
        <v>330</v>
      </c>
      <c r="K87">
        <f t="shared" si="8"/>
        <v>2</v>
      </c>
      <c r="O87">
        <f t="shared" ca="1" si="9"/>
        <v>26</v>
      </c>
    </row>
    <row r="88" spans="4:15" ht="15.6" x14ac:dyDescent="0.3">
      <c r="D88">
        <v>159</v>
      </c>
      <c r="E88" s="34">
        <v>43695</v>
      </c>
      <c r="F88" s="35">
        <v>3</v>
      </c>
      <c r="G88" s="35" t="str">
        <f t="shared" si="5"/>
        <v>Галоши</v>
      </c>
      <c r="H88" s="35">
        <v>3</v>
      </c>
      <c r="I88" s="35">
        <f t="shared" si="6"/>
        <v>165</v>
      </c>
      <c r="J88" s="36">
        <f t="shared" si="7"/>
        <v>495</v>
      </c>
      <c r="K88">
        <f t="shared" si="8"/>
        <v>2</v>
      </c>
      <c r="O88">
        <f t="shared" ca="1" si="9"/>
        <v>28</v>
      </c>
    </row>
    <row r="89" spans="4:15" ht="15.6" x14ac:dyDescent="0.3">
      <c r="D89">
        <v>158</v>
      </c>
      <c r="E89" s="34">
        <v>43695</v>
      </c>
      <c r="F89" s="35">
        <v>3</v>
      </c>
      <c r="G89" s="35" t="str">
        <f t="shared" si="5"/>
        <v>Галоши</v>
      </c>
      <c r="H89" s="35">
        <v>4</v>
      </c>
      <c r="I89" s="35">
        <f t="shared" si="6"/>
        <v>165</v>
      </c>
      <c r="J89" s="36">
        <f t="shared" si="7"/>
        <v>660</v>
      </c>
      <c r="K89">
        <f t="shared" si="8"/>
        <v>2</v>
      </c>
      <c r="O89">
        <f t="shared" ca="1" si="9"/>
        <v>17</v>
      </c>
    </row>
    <row r="90" spans="4:15" ht="15.6" x14ac:dyDescent="0.3">
      <c r="D90">
        <v>150</v>
      </c>
      <c r="E90" s="34">
        <v>43694</v>
      </c>
      <c r="F90" s="35">
        <v>3</v>
      </c>
      <c r="G90" s="35" t="str">
        <f t="shared" si="5"/>
        <v>Галоши</v>
      </c>
      <c r="H90" s="35">
        <v>5</v>
      </c>
      <c r="I90" s="35">
        <f t="shared" si="6"/>
        <v>165</v>
      </c>
      <c r="J90" s="36">
        <f t="shared" si="7"/>
        <v>825</v>
      </c>
      <c r="K90">
        <f t="shared" si="8"/>
        <v>2</v>
      </c>
      <c r="O90">
        <f t="shared" ca="1" si="9"/>
        <v>25</v>
      </c>
    </row>
    <row r="91" spans="4:15" ht="15.6" x14ac:dyDescent="0.3">
      <c r="D91">
        <v>149</v>
      </c>
      <c r="E91" s="34">
        <v>43694</v>
      </c>
      <c r="F91" s="35">
        <v>3</v>
      </c>
      <c r="G91" s="35" t="str">
        <f t="shared" si="5"/>
        <v>Галоши</v>
      </c>
      <c r="H91" s="35">
        <v>5</v>
      </c>
      <c r="I91" s="35">
        <f t="shared" si="6"/>
        <v>165</v>
      </c>
      <c r="J91" s="36">
        <f t="shared" si="7"/>
        <v>825</v>
      </c>
      <c r="K91">
        <f t="shared" si="8"/>
        <v>2</v>
      </c>
      <c r="O91">
        <f t="shared" ca="1" si="9"/>
        <v>24</v>
      </c>
    </row>
    <row r="92" spans="4:15" ht="15.6" x14ac:dyDescent="0.3">
      <c r="D92">
        <v>148</v>
      </c>
      <c r="E92" s="34">
        <v>43694</v>
      </c>
      <c r="F92" s="35">
        <v>3</v>
      </c>
      <c r="G92" s="35" t="str">
        <f t="shared" si="5"/>
        <v>Галоши</v>
      </c>
      <c r="H92" s="35">
        <v>2</v>
      </c>
      <c r="I92" s="35">
        <f t="shared" si="6"/>
        <v>165</v>
      </c>
      <c r="J92" s="36">
        <f t="shared" si="7"/>
        <v>330</v>
      </c>
      <c r="K92">
        <f t="shared" si="8"/>
        <v>2</v>
      </c>
      <c r="O92">
        <f t="shared" ca="1" si="9"/>
        <v>5</v>
      </c>
    </row>
    <row r="93" spans="4:15" ht="15.6" x14ac:dyDescent="0.3">
      <c r="D93">
        <v>141</v>
      </c>
      <c r="E93" s="34">
        <v>43693</v>
      </c>
      <c r="F93" s="35">
        <v>3</v>
      </c>
      <c r="G93" s="35" t="str">
        <f t="shared" si="5"/>
        <v>Галоши</v>
      </c>
      <c r="H93" s="35">
        <v>5</v>
      </c>
      <c r="I93" s="35">
        <f t="shared" si="6"/>
        <v>165</v>
      </c>
      <c r="J93" s="36">
        <f t="shared" si="7"/>
        <v>825</v>
      </c>
      <c r="K93">
        <f t="shared" si="8"/>
        <v>2</v>
      </c>
      <c r="O93">
        <f t="shared" ca="1" si="9"/>
        <v>25</v>
      </c>
    </row>
    <row r="94" spans="4:15" ht="15.6" x14ac:dyDescent="0.3">
      <c r="D94">
        <v>140</v>
      </c>
      <c r="E94" s="34">
        <v>43693</v>
      </c>
      <c r="F94" s="35">
        <v>3</v>
      </c>
      <c r="G94" s="35" t="str">
        <f t="shared" si="5"/>
        <v>Галоши</v>
      </c>
      <c r="H94" s="35">
        <v>1</v>
      </c>
      <c r="I94" s="35">
        <f t="shared" si="6"/>
        <v>165</v>
      </c>
      <c r="J94" s="36">
        <f t="shared" si="7"/>
        <v>165</v>
      </c>
      <c r="K94">
        <f t="shared" si="8"/>
        <v>2</v>
      </c>
      <c r="O94">
        <f t="shared" ca="1" si="9"/>
        <v>19</v>
      </c>
    </row>
    <row r="95" spans="4:15" ht="15.6" x14ac:dyDescent="0.3">
      <c r="D95">
        <v>139</v>
      </c>
      <c r="E95" s="34">
        <v>43693</v>
      </c>
      <c r="F95" s="35">
        <v>3</v>
      </c>
      <c r="G95" s="35" t="str">
        <f t="shared" si="5"/>
        <v>Галоши</v>
      </c>
      <c r="H95" s="35">
        <v>9</v>
      </c>
      <c r="I95" s="35">
        <f t="shared" si="6"/>
        <v>165</v>
      </c>
      <c r="J95" s="36">
        <f t="shared" si="7"/>
        <v>1485</v>
      </c>
      <c r="K95">
        <f t="shared" si="8"/>
        <v>2</v>
      </c>
      <c r="O95">
        <f t="shared" ca="1" si="9"/>
        <v>6</v>
      </c>
    </row>
    <row r="96" spans="4:15" ht="15.6" x14ac:dyDescent="0.3">
      <c r="D96">
        <v>127</v>
      </c>
      <c r="E96" s="34">
        <v>43692</v>
      </c>
      <c r="F96" s="35">
        <v>3</v>
      </c>
      <c r="G96" s="35" t="str">
        <f t="shared" si="5"/>
        <v>Галоши</v>
      </c>
      <c r="H96" s="35">
        <v>6</v>
      </c>
      <c r="I96" s="35">
        <f t="shared" si="6"/>
        <v>165</v>
      </c>
      <c r="J96" s="36">
        <f t="shared" si="7"/>
        <v>990</v>
      </c>
      <c r="K96">
        <f t="shared" si="8"/>
        <v>2</v>
      </c>
      <c r="O96">
        <f t="shared" ca="1" si="9"/>
        <v>6</v>
      </c>
    </row>
    <row r="97" spans="4:15" ht="15.6" x14ac:dyDescent="0.3">
      <c r="D97">
        <v>126</v>
      </c>
      <c r="E97" s="34">
        <v>43692</v>
      </c>
      <c r="F97" s="35">
        <v>3</v>
      </c>
      <c r="G97" s="35" t="str">
        <f t="shared" si="5"/>
        <v>Галоши</v>
      </c>
      <c r="H97" s="35">
        <v>9</v>
      </c>
      <c r="I97" s="35">
        <f t="shared" si="6"/>
        <v>165</v>
      </c>
      <c r="J97" s="36">
        <f t="shared" si="7"/>
        <v>1485</v>
      </c>
      <c r="K97">
        <f t="shared" si="8"/>
        <v>2</v>
      </c>
      <c r="O97">
        <f t="shared" ca="1" si="9"/>
        <v>17</v>
      </c>
    </row>
    <row r="98" spans="4:15" ht="15.6" x14ac:dyDescent="0.3">
      <c r="D98">
        <v>98</v>
      </c>
      <c r="E98" s="34">
        <v>43689</v>
      </c>
      <c r="F98" s="35">
        <v>3</v>
      </c>
      <c r="G98" s="35" t="str">
        <f t="shared" si="5"/>
        <v>Галоши</v>
      </c>
      <c r="H98" s="35">
        <v>8</v>
      </c>
      <c r="I98" s="35">
        <f t="shared" si="6"/>
        <v>165</v>
      </c>
      <c r="J98" s="36">
        <f t="shared" si="7"/>
        <v>1320</v>
      </c>
      <c r="K98">
        <f t="shared" si="8"/>
        <v>2</v>
      </c>
      <c r="O98">
        <f t="shared" ca="1" si="9"/>
        <v>7</v>
      </c>
    </row>
    <row r="99" spans="4:15" ht="15.6" x14ac:dyDescent="0.3">
      <c r="D99">
        <v>97</v>
      </c>
      <c r="E99" s="34">
        <v>43689</v>
      </c>
      <c r="F99" s="35">
        <v>3</v>
      </c>
      <c r="G99" s="35" t="str">
        <f t="shared" si="5"/>
        <v>Галоши</v>
      </c>
      <c r="H99" s="35">
        <v>6</v>
      </c>
      <c r="I99" s="35">
        <f t="shared" si="6"/>
        <v>165</v>
      </c>
      <c r="J99" s="36">
        <f t="shared" si="7"/>
        <v>990</v>
      </c>
      <c r="K99">
        <f t="shared" si="8"/>
        <v>2</v>
      </c>
      <c r="O99">
        <f t="shared" ca="1" si="9"/>
        <v>9</v>
      </c>
    </row>
    <row r="100" spans="4:15" ht="15.6" x14ac:dyDescent="0.3">
      <c r="D100">
        <v>89</v>
      </c>
      <c r="E100" s="34">
        <v>43688</v>
      </c>
      <c r="F100" s="35">
        <v>3</v>
      </c>
      <c r="G100" s="35" t="str">
        <f t="shared" si="5"/>
        <v>Галоши</v>
      </c>
      <c r="H100" s="35">
        <v>8</v>
      </c>
      <c r="I100" s="35">
        <f t="shared" si="6"/>
        <v>165</v>
      </c>
      <c r="J100" s="36">
        <f t="shared" si="7"/>
        <v>1320</v>
      </c>
      <c r="K100">
        <f t="shared" si="8"/>
        <v>2</v>
      </c>
      <c r="O100">
        <f t="shared" ca="1" si="9"/>
        <v>17</v>
      </c>
    </row>
    <row r="101" spans="4:15" ht="15.6" x14ac:dyDescent="0.3">
      <c r="D101">
        <v>88</v>
      </c>
      <c r="E101" s="34">
        <v>43688</v>
      </c>
      <c r="F101" s="35">
        <v>3</v>
      </c>
      <c r="G101" s="35" t="str">
        <f t="shared" si="5"/>
        <v>Галоши</v>
      </c>
      <c r="H101" s="35">
        <v>4</v>
      </c>
      <c r="I101" s="35">
        <f t="shared" si="6"/>
        <v>165</v>
      </c>
      <c r="J101" s="36">
        <f t="shared" si="7"/>
        <v>660</v>
      </c>
      <c r="K101">
        <f t="shared" si="8"/>
        <v>2</v>
      </c>
      <c r="O101">
        <f t="shared" ca="1" si="9"/>
        <v>6</v>
      </c>
    </row>
    <row r="102" spans="4:15" ht="15.6" x14ac:dyDescent="0.3">
      <c r="D102">
        <v>63</v>
      </c>
      <c r="E102" s="34">
        <v>43684</v>
      </c>
      <c r="F102" s="35">
        <v>3</v>
      </c>
      <c r="G102" s="35" t="str">
        <f t="shared" si="5"/>
        <v>Галоши</v>
      </c>
      <c r="H102" s="35">
        <v>1</v>
      </c>
      <c r="I102" s="35">
        <f t="shared" si="6"/>
        <v>165</v>
      </c>
      <c r="J102" s="36">
        <f t="shared" si="7"/>
        <v>165</v>
      </c>
      <c r="K102">
        <f t="shared" si="8"/>
        <v>2</v>
      </c>
      <c r="O102">
        <f t="shared" ca="1" si="9"/>
        <v>12</v>
      </c>
    </row>
    <row r="103" spans="4:15" ht="15.6" x14ac:dyDescent="0.3">
      <c r="D103">
        <v>62</v>
      </c>
      <c r="E103" s="34">
        <v>43684</v>
      </c>
      <c r="F103" s="35">
        <v>3</v>
      </c>
      <c r="G103" s="35" t="str">
        <f t="shared" si="5"/>
        <v>Галоши</v>
      </c>
      <c r="H103" s="35">
        <v>5</v>
      </c>
      <c r="I103" s="35">
        <f t="shared" si="6"/>
        <v>165</v>
      </c>
      <c r="J103" s="36">
        <f t="shared" si="7"/>
        <v>825</v>
      </c>
      <c r="K103">
        <f t="shared" si="8"/>
        <v>2</v>
      </c>
      <c r="O103">
        <f t="shared" ca="1" si="9"/>
        <v>15</v>
      </c>
    </row>
    <row r="104" spans="4:15" ht="15.6" x14ac:dyDescent="0.3">
      <c r="D104">
        <v>32</v>
      </c>
      <c r="E104" s="34">
        <v>43681</v>
      </c>
      <c r="F104" s="35">
        <v>3</v>
      </c>
      <c r="G104" s="35" t="str">
        <f t="shared" si="5"/>
        <v>Галоши</v>
      </c>
      <c r="H104" s="35">
        <v>5</v>
      </c>
      <c r="I104" s="35">
        <f t="shared" si="6"/>
        <v>165</v>
      </c>
      <c r="J104" s="36">
        <f t="shared" si="7"/>
        <v>825</v>
      </c>
      <c r="K104">
        <f t="shared" si="8"/>
        <v>2</v>
      </c>
      <c r="O104">
        <f t="shared" ca="1" si="9"/>
        <v>16</v>
      </c>
    </row>
    <row r="105" spans="4:15" ht="15.6" x14ac:dyDescent="0.3">
      <c r="D105">
        <v>31</v>
      </c>
      <c r="E105" s="34">
        <v>43681</v>
      </c>
      <c r="F105" s="35">
        <v>3</v>
      </c>
      <c r="G105" s="35" t="str">
        <f t="shared" si="5"/>
        <v>Галоши</v>
      </c>
      <c r="H105" s="35">
        <v>4</v>
      </c>
      <c r="I105" s="35">
        <f t="shared" si="6"/>
        <v>165</v>
      </c>
      <c r="J105" s="36">
        <f t="shared" si="7"/>
        <v>660</v>
      </c>
      <c r="K105">
        <f t="shared" si="8"/>
        <v>2</v>
      </c>
      <c r="O105">
        <f t="shared" ca="1" si="9"/>
        <v>4</v>
      </c>
    </row>
    <row r="106" spans="4:15" ht="15.6" x14ac:dyDescent="0.3">
      <c r="D106">
        <v>18</v>
      </c>
      <c r="E106" s="34">
        <v>43680</v>
      </c>
      <c r="F106" s="35">
        <v>3</v>
      </c>
      <c r="G106" s="35" t="str">
        <f t="shared" si="5"/>
        <v>Галоши</v>
      </c>
      <c r="H106" s="35">
        <v>6</v>
      </c>
      <c r="I106" s="35">
        <f t="shared" si="6"/>
        <v>165</v>
      </c>
      <c r="J106" s="36">
        <f t="shared" si="7"/>
        <v>990</v>
      </c>
      <c r="K106">
        <f t="shared" si="8"/>
        <v>2</v>
      </c>
      <c r="O106">
        <f t="shared" ca="1" si="9"/>
        <v>17</v>
      </c>
    </row>
    <row r="107" spans="4:15" ht="15.6" x14ac:dyDescent="0.3">
      <c r="D107">
        <v>17</v>
      </c>
      <c r="E107" s="34">
        <v>43680</v>
      </c>
      <c r="F107" s="35">
        <v>3</v>
      </c>
      <c r="G107" s="35" t="str">
        <f t="shared" si="5"/>
        <v>Галоши</v>
      </c>
      <c r="H107" s="35">
        <v>2</v>
      </c>
      <c r="I107" s="35">
        <f t="shared" si="6"/>
        <v>165</v>
      </c>
      <c r="J107" s="36">
        <f t="shared" si="7"/>
        <v>330</v>
      </c>
      <c r="K107">
        <f t="shared" si="8"/>
        <v>2</v>
      </c>
      <c r="O107">
        <f t="shared" ca="1" si="9"/>
        <v>12</v>
      </c>
    </row>
    <row r="108" spans="4:15" ht="15.6" x14ac:dyDescent="0.3">
      <c r="D108">
        <v>8</v>
      </c>
      <c r="E108" s="34">
        <v>43679</v>
      </c>
      <c r="F108" s="35">
        <v>3</v>
      </c>
      <c r="G108" s="35" t="str">
        <f t="shared" si="5"/>
        <v>Галоши</v>
      </c>
      <c r="H108" s="35">
        <v>8</v>
      </c>
      <c r="I108" s="35">
        <f t="shared" si="6"/>
        <v>165</v>
      </c>
      <c r="J108" s="36">
        <f t="shared" si="7"/>
        <v>1320</v>
      </c>
      <c r="K108">
        <f t="shared" si="8"/>
        <v>2</v>
      </c>
      <c r="O108">
        <f t="shared" ca="1" si="9"/>
        <v>19</v>
      </c>
    </row>
    <row r="109" spans="4:15" ht="15.6" x14ac:dyDescent="0.3">
      <c r="D109">
        <v>7</v>
      </c>
      <c r="E109" s="34">
        <v>43679</v>
      </c>
      <c r="F109" s="35">
        <v>3</v>
      </c>
      <c r="G109" s="35" t="str">
        <f t="shared" si="5"/>
        <v>Галоши</v>
      </c>
      <c r="H109" s="35">
        <v>2</v>
      </c>
      <c r="I109" s="35">
        <f t="shared" si="6"/>
        <v>165</v>
      </c>
      <c r="J109" s="36">
        <f t="shared" si="7"/>
        <v>330</v>
      </c>
      <c r="K109">
        <f t="shared" si="8"/>
        <v>2</v>
      </c>
      <c r="O109">
        <f t="shared" ca="1" si="9"/>
        <v>5</v>
      </c>
    </row>
    <row r="110" spans="4:15" ht="15.6" x14ac:dyDescent="0.3">
      <c r="D110">
        <v>6</v>
      </c>
      <c r="E110" s="34">
        <v>43679</v>
      </c>
      <c r="F110" s="35">
        <v>3</v>
      </c>
      <c r="G110" s="35" t="str">
        <f t="shared" si="5"/>
        <v>Галоши</v>
      </c>
      <c r="H110" s="35">
        <v>2</v>
      </c>
      <c r="I110" s="35">
        <f t="shared" si="6"/>
        <v>165</v>
      </c>
      <c r="J110" s="36">
        <f t="shared" si="7"/>
        <v>330</v>
      </c>
      <c r="K110">
        <f t="shared" si="8"/>
        <v>2</v>
      </c>
      <c r="O110">
        <f t="shared" ca="1" si="9"/>
        <v>9</v>
      </c>
    </row>
    <row r="111" spans="4:15" ht="15.6" x14ac:dyDescent="0.3">
      <c r="D111">
        <v>1</v>
      </c>
      <c r="E111" s="34">
        <v>43678</v>
      </c>
      <c r="F111" s="35">
        <v>3</v>
      </c>
      <c r="G111" s="35" t="str">
        <f t="shared" si="5"/>
        <v>Галоши</v>
      </c>
      <c r="H111" s="35">
        <v>7</v>
      </c>
      <c r="I111" s="35">
        <f t="shared" si="6"/>
        <v>165</v>
      </c>
      <c r="J111" s="36">
        <f t="shared" si="7"/>
        <v>1155</v>
      </c>
      <c r="K111">
        <f t="shared" si="8"/>
        <v>2</v>
      </c>
      <c r="O111">
        <f t="shared" ca="1" si="9"/>
        <v>14</v>
      </c>
    </row>
    <row r="112" spans="4:15" ht="15.6" x14ac:dyDescent="0.3">
      <c r="D112">
        <v>308</v>
      </c>
      <c r="E112" s="34">
        <v>43810</v>
      </c>
      <c r="F112" s="35">
        <v>5</v>
      </c>
      <c r="G112" s="35" t="s">
        <v>27</v>
      </c>
      <c r="H112" s="35">
        <v>1</v>
      </c>
      <c r="I112" s="35">
        <v>440.00000000000006</v>
      </c>
      <c r="J112" s="36">
        <v>440.00000000000006</v>
      </c>
      <c r="K112">
        <f t="shared" si="8"/>
        <v>4</v>
      </c>
      <c r="O112">
        <f t="shared" ca="1" si="9"/>
        <v>28</v>
      </c>
    </row>
    <row r="113" spans="4:15" ht="15.6" x14ac:dyDescent="0.3">
      <c r="D113">
        <v>307</v>
      </c>
      <c r="E113" s="34">
        <v>43810</v>
      </c>
      <c r="F113" s="35">
        <v>5</v>
      </c>
      <c r="G113" s="35" t="s">
        <v>27</v>
      </c>
      <c r="H113" s="35">
        <v>1</v>
      </c>
      <c r="I113" s="35">
        <v>440.00000000000006</v>
      </c>
      <c r="J113" s="36">
        <v>440.00000000000006</v>
      </c>
      <c r="K113">
        <f t="shared" si="8"/>
        <v>4</v>
      </c>
      <c r="O113">
        <f t="shared" ca="1" si="9"/>
        <v>6</v>
      </c>
    </row>
    <row r="114" spans="4:15" ht="15.6" x14ac:dyDescent="0.3">
      <c r="D114">
        <v>306</v>
      </c>
      <c r="E114" s="34">
        <v>43810</v>
      </c>
      <c r="F114" s="35">
        <v>5</v>
      </c>
      <c r="G114" s="35" t="s">
        <v>27</v>
      </c>
      <c r="H114" s="35">
        <v>1</v>
      </c>
      <c r="I114" s="35">
        <v>440.00000000000006</v>
      </c>
      <c r="J114" s="36">
        <v>440.00000000000006</v>
      </c>
      <c r="K114">
        <f t="shared" si="8"/>
        <v>4</v>
      </c>
      <c r="O114">
        <f t="shared" ca="1" si="9"/>
        <v>28</v>
      </c>
    </row>
    <row r="115" spans="4:15" ht="15.6" x14ac:dyDescent="0.3">
      <c r="D115">
        <v>298</v>
      </c>
      <c r="E115" s="34">
        <v>43707</v>
      </c>
      <c r="F115" s="35">
        <v>5</v>
      </c>
      <c r="G115" s="35" t="s">
        <v>27</v>
      </c>
      <c r="H115" s="35">
        <v>5</v>
      </c>
      <c r="I115" s="35">
        <v>440.00000000000006</v>
      </c>
      <c r="J115" s="36">
        <v>2200.0000000000005</v>
      </c>
      <c r="K115">
        <f t="shared" si="8"/>
        <v>4</v>
      </c>
      <c r="O115">
        <f t="shared" ca="1" si="9"/>
        <v>20</v>
      </c>
    </row>
    <row r="116" spans="4:15" ht="15.6" x14ac:dyDescent="0.3">
      <c r="D116">
        <v>297</v>
      </c>
      <c r="E116" s="34">
        <v>43707</v>
      </c>
      <c r="F116" s="35">
        <v>5</v>
      </c>
      <c r="G116" s="35" t="s">
        <v>27</v>
      </c>
      <c r="H116" s="35">
        <v>2</v>
      </c>
      <c r="I116" s="35">
        <v>440.00000000000006</v>
      </c>
      <c r="J116" s="36">
        <v>880.00000000000011</v>
      </c>
      <c r="K116">
        <f t="shared" si="8"/>
        <v>4</v>
      </c>
      <c r="O116">
        <f t="shared" ca="1" si="9"/>
        <v>29</v>
      </c>
    </row>
    <row r="117" spans="4:15" ht="15.6" x14ac:dyDescent="0.3">
      <c r="D117">
        <v>296</v>
      </c>
      <c r="E117" s="34">
        <v>43707</v>
      </c>
      <c r="F117" s="35">
        <v>5</v>
      </c>
      <c r="G117" s="35" t="str">
        <f>VLOOKUP(F117,имя,2)</f>
        <v>Кепка a ’la Lenin</v>
      </c>
      <c r="H117" s="35">
        <v>2</v>
      </c>
      <c r="I117" s="35">
        <f xml:space="preserve"> VLOOKUP(F117, имя,4) * (1 + VLOOKUP(F117, имя,5))</f>
        <v>440.00000000000006</v>
      </c>
      <c r="J117" s="36">
        <f xml:space="preserve"> H117 * I117</f>
        <v>880.00000000000011</v>
      </c>
      <c r="K117">
        <f t="shared" si="8"/>
        <v>4</v>
      </c>
      <c r="O117">
        <f t="shared" ca="1" si="9"/>
        <v>15</v>
      </c>
    </row>
    <row r="118" spans="4:15" ht="15.6" x14ac:dyDescent="0.3">
      <c r="D118">
        <v>288</v>
      </c>
      <c r="E118" s="34">
        <v>43706</v>
      </c>
      <c r="F118" s="35">
        <v>5</v>
      </c>
      <c r="G118" s="35" t="s">
        <v>27</v>
      </c>
      <c r="H118" s="35">
        <v>8</v>
      </c>
      <c r="I118" s="35">
        <v>440.00000000000006</v>
      </c>
      <c r="J118" s="36">
        <v>3520.0000000000005</v>
      </c>
      <c r="K118">
        <f t="shared" si="8"/>
        <v>4</v>
      </c>
      <c r="O118">
        <f t="shared" ca="1" si="9"/>
        <v>19</v>
      </c>
    </row>
    <row r="119" spans="4:15" ht="15.6" x14ac:dyDescent="0.3">
      <c r="D119">
        <v>287</v>
      </c>
      <c r="E119" s="34">
        <v>43706</v>
      </c>
      <c r="F119" s="35">
        <v>5</v>
      </c>
      <c r="G119" s="35" t="str">
        <f t="shared" ref="G119:G153" si="10">VLOOKUP(F119,имя,2)</f>
        <v>Кепка a ’la Lenin</v>
      </c>
      <c r="H119" s="35">
        <v>9</v>
      </c>
      <c r="I119" s="35">
        <f t="shared" ref="I119:I153" si="11" xml:space="preserve"> VLOOKUP(F119, имя,4) * (1 + VLOOKUP(F119, имя,5))</f>
        <v>440.00000000000006</v>
      </c>
      <c r="J119" s="36">
        <f t="shared" ref="J119:J153" si="12" xml:space="preserve"> H119 * I119</f>
        <v>3960.0000000000005</v>
      </c>
      <c r="K119">
        <f t="shared" si="8"/>
        <v>4</v>
      </c>
      <c r="O119">
        <f t="shared" ca="1" si="9"/>
        <v>19</v>
      </c>
    </row>
    <row r="120" spans="4:15" ht="15.6" x14ac:dyDescent="0.3">
      <c r="D120">
        <v>286</v>
      </c>
      <c r="E120" s="34">
        <v>43706</v>
      </c>
      <c r="F120" s="35">
        <v>5</v>
      </c>
      <c r="G120" s="35" t="str">
        <f t="shared" si="10"/>
        <v>Кепка a ’la Lenin</v>
      </c>
      <c r="H120" s="35">
        <v>9</v>
      </c>
      <c r="I120" s="35">
        <f t="shared" si="11"/>
        <v>440.00000000000006</v>
      </c>
      <c r="J120" s="36">
        <f t="shared" si="12"/>
        <v>3960.0000000000005</v>
      </c>
      <c r="K120">
        <f t="shared" si="8"/>
        <v>4</v>
      </c>
      <c r="O120">
        <f t="shared" ca="1" si="9"/>
        <v>29</v>
      </c>
    </row>
    <row r="121" spans="4:15" ht="15.6" x14ac:dyDescent="0.3">
      <c r="D121">
        <v>277</v>
      </c>
      <c r="E121" s="34">
        <v>43705</v>
      </c>
      <c r="F121" s="35">
        <v>5</v>
      </c>
      <c r="G121" s="35" t="str">
        <f t="shared" si="10"/>
        <v>Кепка a ’la Lenin</v>
      </c>
      <c r="H121" s="35">
        <v>9</v>
      </c>
      <c r="I121" s="35">
        <f t="shared" si="11"/>
        <v>440.00000000000006</v>
      </c>
      <c r="J121" s="36">
        <f t="shared" si="12"/>
        <v>3960.0000000000005</v>
      </c>
      <c r="K121">
        <f t="shared" si="8"/>
        <v>4</v>
      </c>
      <c r="O121">
        <f t="shared" ca="1" si="9"/>
        <v>11</v>
      </c>
    </row>
    <row r="122" spans="4:15" ht="15.6" x14ac:dyDescent="0.3">
      <c r="D122">
        <v>276</v>
      </c>
      <c r="E122" s="34">
        <v>43705</v>
      </c>
      <c r="F122" s="35">
        <v>5</v>
      </c>
      <c r="G122" s="35" t="str">
        <f t="shared" si="10"/>
        <v>Кепка a ’la Lenin</v>
      </c>
      <c r="H122" s="35">
        <v>5</v>
      </c>
      <c r="I122" s="35">
        <f t="shared" si="11"/>
        <v>440.00000000000006</v>
      </c>
      <c r="J122" s="36">
        <f t="shared" si="12"/>
        <v>2200.0000000000005</v>
      </c>
      <c r="K122">
        <f t="shared" si="8"/>
        <v>4</v>
      </c>
      <c r="O122">
        <f t="shared" ca="1" si="9"/>
        <v>27</v>
      </c>
    </row>
    <row r="123" spans="4:15" ht="15.6" x14ac:dyDescent="0.3">
      <c r="D123">
        <v>262</v>
      </c>
      <c r="E123" s="34">
        <v>43704</v>
      </c>
      <c r="F123" s="35">
        <v>5</v>
      </c>
      <c r="G123" s="35" t="str">
        <f t="shared" si="10"/>
        <v>Кепка a ’la Lenin</v>
      </c>
      <c r="H123" s="35">
        <v>3</v>
      </c>
      <c r="I123" s="35">
        <f t="shared" si="11"/>
        <v>440.00000000000006</v>
      </c>
      <c r="J123" s="36">
        <f t="shared" si="12"/>
        <v>1320.0000000000002</v>
      </c>
      <c r="K123">
        <f t="shared" si="8"/>
        <v>4</v>
      </c>
      <c r="O123">
        <f t="shared" ca="1" si="9"/>
        <v>0</v>
      </c>
    </row>
    <row r="124" spans="4:15" ht="15.6" x14ac:dyDescent="0.3">
      <c r="D124">
        <v>261</v>
      </c>
      <c r="E124" s="34">
        <v>43704</v>
      </c>
      <c r="F124" s="35">
        <v>5</v>
      </c>
      <c r="G124" s="35" t="str">
        <f t="shared" si="10"/>
        <v>Кепка a ’la Lenin</v>
      </c>
      <c r="H124" s="35">
        <v>8</v>
      </c>
      <c r="I124" s="35">
        <f t="shared" si="11"/>
        <v>440.00000000000006</v>
      </c>
      <c r="J124" s="36">
        <f t="shared" si="12"/>
        <v>3520.0000000000005</v>
      </c>
      <c r="K124">
        <f t="shared" si="8"/>
        <v>4</v>
      </c>
      <c r="O124">
        <f t="shared" ca="1" si="9"/>
        <v>26</v>
      </c>
    </row>
    <row r="125" spans="4:15" ht="15.6" x14ac:dyDescent="0.3">
      <c r="D125">
        <v>255</v>
      </c>
      <c r="E125" s="34">
        <v>43703</v>
      </c>
      <c r="F125" s="35">
        <v>5</v>
      </c>
      <c r="G125" s="35" t="str">
        <f t="shared" si="10"/>
        <v>Кепка a ’la Lenin</v>
      </c>
      <c r="H125" s="35">
        <v>2</v>
      </c>
      <c r="I125" s="35">
        <f t="shared" si="11"/>
        <v>440.00000000000006</v>
      </c>
      <c r="J125" s="36">
        <f t="shared" si="12"/>
        <v>880.00000000000011</v>
      </c>
      <c r="K125">
        <f t="shared" si="8"/>
        <v>4</v>
      </c>
      <c r="O125">
        <f t="shared" ca="1" si="9"/>
        <v>26</v>
      </c>
    </row>
    <row r="126" spans="4:15" ht="15.6" x14ac:dyDescent="0.3">
      <c r="D126">
        <v>247</v>
      </c>
      <c r="E126" s="34">
        <v>43702</v>
      </c>
      <c r="F126" s="35">
        <v>5</v>
      </c>
      <c r="G126" s="35" t="str">
        <f t="shared" si="10"/>
        <v>Кепка a ’la Lenin</v>
      </c>
      <c r="H126" s="35">
        <v>4</v>
      </c>
      <c r="I126" s="35">
        <f t="shared" si="11"/>
        <v>440.00000000000006</v>
      </c>
      <c r="J126" s="36">
        <f t="shared" si="12"/>
        <v>1760.0000000000002</v>
      </c>
      <c r="K126">
        <f t="shared" si="8"/>
        <v>4</v>
      </c>
      <c r="O126">
        <f t="shared" ca="1" si="9"/>
        <v>24</v>
      </c>
    </row>
    <row r="127" spans="4:15" ht="15.6" x14ac:dyDescent="0.3">
      <c r="D127">
        <v>228</v>
      </c>
      <c r="E127" s="34">
        <v>43700</v>
      </c>
      <c r="F127" s="35">
        <v>5</v>
      </c>
      <c r="G127" s="35" t="str">
        <f t="shared" si="10"/>
        <v>Кепка a ’la Lenin</v>
      </c>
      <c r="H127" s="35">
        <v>2</v>
      </c>
      <c r="I127" s="35">
        <f t="shared" si="11"/>
        <v>440.00000000000006</v>
      </c>
      <c r="J127" s="36">
        <f t="shared" si="12"/>
        <v>880.00000000000011</v>
      </c>
      <c r="K127">
        <f t="shared" si="8"/>
        <v>4</v>
      </c>
      <c r="O127">
        <f t="shared" ca="1" si="9"/>
        <v>17</v>
      </c>
    </row>
    <row r="128" spans="4:15" ht="15.6" x14ac:dyDescent="0.3">
      <c r="D128">
        <v>227</v>
      </c>
      <c r="E128" s="34">
        <v>43700</v>
      </c>
      <c r="F128" s="35">
        <v>5</v>
      </c>
      <c r="G128" s="35" t="str">
        <f t="shared" si="10"/>
        <v>Кепка a ’la Lenin</v>
      </c>
      <c r="H128" s="35">
        <v>3</v>
      </c>
      <c r="I128" s="35">
        <f t="shared" si="11"/>
        <v>440.00000000000006</v>
      </c>
      <c r="J128" s="36">
        <f t="shared" si="12"/>
        <v>1320.0000000000002</v>
      </c>
      <c r="K128">
        <f t="shared" si="8"/>
        <v>4</v>
      </c>
      <c r="O128">
        <f t="shared" ca="1" si="9"/>
        <v>1</v>
      </c>
    </row>
    <row r="129" spans="4:15" ht="15.6" x14ac:dyDescent="0.3">
      <c r="D129">
        <v>216</v>
      </c>
      <c r="E129" s="34">
        <v>43699</v>
      </c>
      <c r="F129" s="35">
        <v>5</v>
      </c>
      <c r="G129" s="35" t="str">
        <f t="shared" si="10"/>
        <v>Кепка a ’la Lenin</v>
      </c>
      <c r="H129" s="35">
        <v>9</v>
      </c>
      <c r="I129" s="35">
        <f t="shared" si="11"/>
        <v>440.00000000000006</v>
      </c>
      <c r="J129" s="36">
        <f t="shared" si="12"/>
        <v>3960.0000000000005</v>
      </c>
      <c r="K129">
        <f t="shared" si="8"/>
        <v>4</v>
      </c>
      <c r="O129">
        <f t="shared" ca="1" si="9"/>
        <v>0</v>
      </c>
    </row>
    <row r="130" spans="4:15" ht="15.6" x14ac:dyDescent="0.3">
      <c r="D130">
        <v>215</v>
      </c>
      <c r="E130" s="34">
        <v>43699</v>
      </c>
      <c r="F130" s="35">
        <v>5</v>
      </c>
      <c r="G130" s="35" t="str">
        <f t="shared" si="10"/>
        <v>Кепка a ’la Lenin</v>
      </c>
      <c r="H130" s="35">
        <v>6</v>
      </c>
      <c r="I130" s="35">
        <f t="shared" si="11"/>
        <v>440.00000000000006</v>
      </c>
      <c r="J130" s="36">
        <f t="shared" si="12"/>
        <v>2640.0000000000005</v>
      </c>
      <c r="K130">
        <f t="shared" si="8"/>
        <v>4</v>
      </c>
      <c r="O130">
        <f t="shared" ca="1" si="9"/>
        <v>16</v>
      </c>
    </row>
    <row r="131" spans="4:15" ht="15.6" x14ac:dyDescent="0.3">
      <c r="D131">
        <v>168</v>
      </c>
      <c r="E131" s="34">
        <v>43695</v>
      </c>
      <c r="F131" s="35">
        <v>5</v>
      </c>
      <c r="G131" s="35" t="str">
        <f t="shared" si="10"/>
        <v>Кепка a ’la Lenin</v>
      </c>
      <c r="H131" s="35">
        <v>7</v>
      </c>
      <c r="I131" s="35">
        <f t="shared" si="11"/>
        <v>440.00000000000006</v>
      </c>
      <c r="J131" s="36">
        <f t="shared" si="12"/>
        <v>3080.0000000000005</v>
      </c>
      <c r="K131">
        <f t="shared" si="8"/>
        <v>4</v>
      </c>
      <c r="O131">
        <f t="shared" ca="1" si="9"/>
        <v>4</v>
      </c>
    </row>
    <row r="132" spans="4:15" ht="15.6" x14ac:dyDescent="0.3">
      <c r="D132">
        <v>167</v>
      </c>
      <c r="E132" s="34">
        <v>43695</v>
      </c>
      <c r="F132" s="35">
        <v>5</v>
      </c>
      <c r="G132" s="35" t="str">
        <f t="shared" si="10"/>
        <v>Кепка a ’la Lenin</v>
      </c>
      <c r="H132" s="35">
        <v>9</v>
      </c>
      <c r="I132" s="35">
        <f t="shared" si="11"/>
        <v>440.00000000000006</v>
      </c>
      <c r="J132" s="36">
        <f t="shared" si="12"/>
        <v>3960.0000000000005</v>
      </c>
      <c r="K132">
        <f t="shared" si="8"/>
        <v>4</v>
      </c>
      <c r="O132">
        <f t="shared" ca="1" si="9"/>
        <v>23</v>
      </c>
    </row>
    <row r="133" spans="4:15" ht="15.6" x14ac:dyDescent="0.3">
      <c r="D133">
        <v>166</v>
      </c>
      <c r="E133" s="34">
        <v>43695</v>
      </c>
      <c r="F133" s="35">
        <v>5</v>
      </c>
      <c r="G133" s="35" t="str">
        <f t="shared" si="10"/>
        <v>Кепка a ’la Lenin</v>
      </c>
      <c r="H133" s="35">
        <v>8</v>
      </c>
      <c r="I133" s="35">
        <f t="shared" si="11"/>
        <v>440.00000000000006</v>
      </c>
      <c r="J133" s="36">
        <f t="shared" si="12"/>
        <v>3520.0000000000005</v>
      </c>
      <c r="K133">
        <f t="shared" si="8"/>
        <v>4</v>
      </c>
      <c r="O133">
        <f t="shared" ca="1" si="9"/>
        <v>14</v>
      </c>
    </row>
    <row r="134" spans="4:15" ht="15.6" x14ac:dyDescent="0.3">
      <c r="D134">
        <v>153</v>
      </c>
      <c r="E134" s="34">
        <v>43694</v>
      </c>
      <c r="F134" s="35">
        <v>5</v>
      </c>
      <c r="G134" s="35" t="str">
        <f t="shared" si="10"/>
        <v>Кепка a ’la Lenin</v>
      </c>
      <c r="H134" s="35">
        <v>4</v>
      </c>
      <c r="I134" s="35">
        <f t="shared" si="11"/>
        <v>440.00000000000006</v>
      </c>
      <c r="J134" s="36">
        <f t="shared" si="12"/>
        <v>1760.0000000000002</v>
      </c>
      <c r="K134">
        <f t="shared" si="8"/>
        <v>4</v>
      </c>
      <c r="O134">
        <f t="shared" ca="1" si="9"/>
        <v>28</v>
      </c>
    </row>
    <row r="135" spans="4:15" ht="15.6" x14ac:dyDescent="0.3">
      <c r="D135">
        <v>145</v>
      </c>
      <c r="E135" s="34">
        <v>43693</v>
      </c>
      <c r="F135" s="35">
        <v>5</v>
      </c>
      <c r="G135" s="35" t="str">
        <f t="shared" si="10"/>
        <v>Кепка a ’la Lenin</v>
      </c>
      <c r="H135" s="35">
        <v>7</v>
      </c>
      <c r="I135" s="35">
        <f t="shared" si="11"/>
        <v>440.00000000000006</v>
      </c>
      <c r="J135" s="36">
        <f t="shared" si="12"/>
        <v>3080.0000000000005</v>
      </c>
      <c r="K135">
        <f t="shared" si="8"/>
        <v>4</v>
      </c>
      <c r="O135">
        <f t="shared" ca="1" si="9"/>
        <v>21</v>
      </c>
    </row>
    <row r="136" spans="4:15" ht="15.6" x14ac:dyDescent="0.3">
      <c r="D136">
        <v>144</v>
      </c>
      <c r="E136" s="34">
        <v>43693</v>
      </c>
      <c r="F136" s="35">
        <v>5</v>
      </c>
      <c r="G136" s="35" t="str">
        <f t="shared" si="10"/>
        <v>Кепка a ’la Lenin</v>
      </c>
      <c r="H136" s="35">
        <v>1</v>
      </c>
      <c r="I136" s="35">
        <f t="shared" si="11"/>
        <v>440.00000000000006</v>
      </c>
      <c r="J136" s="36">
        <f t="shared" si="12"/>
        <v>440.00000000000006</v>
      </c>
      <c r="K136">
        <f t="shared" si="8"/>
        <v>4</v>
      </c>
      <c r="O136">
        <f t="shared" ca="1" si="9"/>
        <v>27</v>
      </c>
    </row>
    <row r="137" spans="4:15" ht="15.6" x14ac:dyDescent="0.3">
      <c r="D137">
        <v>143</v>
      </c>
      <c r="E137" s="34">
        <v>43693</v>
      </c>
      <c r="F137" s="35">
        <v>5</v>
      </c>
      <c r="G137" s="35" t="str">
        <f t="shared" si="10"/>
        <v>Кепка a ’la Lenin</v>
      </c>
      <c r="H137" s="35">
        <v>1</v>
      </c>
      <c r="I137" s="35">
        <f t="shared" si="11"/>
        <v>440.00000000000006</v>
      </c>
      <c r="J137" s="36">
        <f t="shared" si="12"/>
        <v>440.00000000000006</v>
      </c>
      <c r="K137">
        <f t="shared" si="8"/>
        <v>4</v>
      </c>
      <c r="O137">
        <f t="shared" ca="1" si="9"/>
        <v>26</v>
      </c>
    </row>
    <row r="138" spans="4:15" ht="15.6" x14ac:dyDescent="0.3">
      <c r="D138">
        <v>142</v>
      </c>
      <c r="E138" s="34">
        <v>43693</v>
      </c>
      <c r="F138" s="35">
        <v>5</v>
      </c>
      <c r="G138" s="35" t="str">
        <f t="shared" si="10"/>
        <v>Кепка a ’la Lenin</v>
      </c>
      <c r="H138" s="35">
        <v>2</v>
      </c>
      <c r="I138" s="35">
        <f t="shared" si="11"/>
        <v>440.00000000000006</v>
      </c>
      <c r="J138" s="36">
        <f t="shared" si="12"/>
        <v>880.00000000000011</v>
      </c>
      <c r="K138">
        <f t="shared" si="8"/>
        <v>4</v>
      </c>
      <c r="O138">
        <f t="shared" ca="1" si="9"/>
        <v>10</v>
      </c>
    </row>
    <row r="139" spans="4:15" ht="15.6" x14ac:dyDescent="0.3">
      <c r="D139">
        <v>133</v>
      </c>
      <c r="E139" s="34">
        <v>43692</v>
      </c>
      <c r="F139" s="35">
        <v>5</v>
      </c>
      <c r="G139" s="35" t="str">
        <f t="shared" si="10"/>
        <v>Кепка a ’la Lenin</v>
      </c>
      <c r="H139" s="35">
        <v>9</v>
      </c>
      <c r="I139" s="35">
        <f t="shared" si="11"/>
        <v>440.00000000000006</v>
      </c>
      <c r="J139" s="36">
        <f t="shared" si="12"/>
        <v>3960.0000000000005</v>
      </c>
      <c r="K139">
        <f t="shared" si="8"/>
        <v>4</v>
      </c>
      <c r="O139">
        <f t="shared" ca="1" si="9"/>
        <v>3</v>
      </c>
    </row>
    <row r="140" spans="4:15" ht="15.6" x14ac:dyDescent="0.3">
      <c r="D140">
        <v>132</v>
      </c>
      <c r="E140" s="34">
        <v>43692</v>
      </c>
      <c r="F140" s="35">
        <v>5</v>
      </c>
      <c r="G140" s="35" t="str">
        <f t="shared" si="10"/>
        <v>Кепка a ’la Lenin</v>
      </c>
      <c r="H140" s="35">
        <v>2</v>
      </c>
      <c r="I140" s="35">
        <f t="shared" si="11"/>
        <v>440.00000000000006</v>
      </c>
      <c r="J140" s="36">
        <f t="shared" si="12"/>
        <v>880.00000000000011</v>
      </c>
      <c r="K140">
        <f t="shared" ref="K140:K203" si="13">VLOOKUP(F140,имя,6)</f>
        <v>4</v>
      </c>
      <c r="O140">
        <f t="shared" ca="1" si="9"/>
        <v>29</v>
      </c>
    </row>
    <row r="141" spans="4:15" ht="15.6" x14ac:dyDescent="0.3">
      <c r="D141">
        <v>117</v>
      </c>
      <c r="E141" s="34">
        <v>43691</v>
      </c>
      <c r="F141" s="35">
        <v>5</v>
      </c>
      <c r="G141" s="35" t="str">
        <f t="shared" si="10"/>
        <v>Кепка a ’la Lenin</v>
      </c>
      <c r="H141" s="35">
        <v>8</v>
      </c>
      <c r="I141" s="35">
        <f t="shared" si="11"/>
        <v>440.00000000000006</v>
      </c>
      <c r="J141" s="36">
        <f t="shared" si="12"/>
        <v>3520.0000000000005</v>
      </c>
      <c r="K141">
        <f t="shared" si="13"/>
        <v>4</v>
      </c>
      <c r="O141">
        <f t="shared" ref="O141:O204" ca="1" si="14">M141+INT(30*RAND())</f>
        <v>13</v>
      </c>
    </row>
    <row r="142" spans="4:15" ht="15.6" x14ac:dyDescent="0.3">
      <c r="D142">
        <v>102</v>
      </c>
      <c r="E142" s="34">
        <v>43689</v>
      </c>
      <c r="F142" s="35">
        <v>5</v>
      </c>
      <c r="G142" s="35" t="str">
        <f t="shared" si="10"/>
        <v>Кепка a ’la Lenin</v>
      </c>
      <c r="H142" s="35">
        <v>9</v>
      </c>
      <c r="I142" s="35">
        <f t="shared" si="11"/>
        <v>440.00000000000006</v>
      </c>
      <c r="J142" s="36">
        <f t="shared" si="12"/>
        <v>3960.0000000000005</v>
      </c>
      <c r="K142">
        <f t="shared" si="13"/>
        <v>4</v>
      </c>
      <c r="O142">
        <f t="shared" ca="1" si="14"/>
        <v>19</v>
      </c>
    </row>
    <row r="143" spans="4:15" ht="15.6" x14ac:dyDescent="0.3">
      <c r="D143">
        <v>94</v>
      </c>
      <c r="E143" s="34">
        <v>43688</v>
      </c>
      <c r="F143" s="35">
        <v>5</v>
      </c>
      <c r="G143" s="35" t="str">
        <f t="shared" si="10"/>
        <v>Кепка a ’la Lenin</v>
      </c>
      <c r="H143" s="35">
        <v>8</v>
      </c>
      <c r="I143" s="35">
        <f t="shared" si="11"/>
        <v>440.00000000000006</v>
      </c>
      <c r="J143" s="36">
        <f t="shared" si="12"/>
        <v>3520.0000000000005</v>
      </c>
      <c r="K143">
        <f t="shared" si="13"/>
        <v>4</v>
      </c>
      <c r="O143">
        <f t="shared" ca="1" si="14"/>
        <v>9</v>
      </c>
    </row>
    <row r="144" spans="4:15" ht="15.6" x14ac:dyDescent="0.3">
      <c r="D144">
        <v>85</v>
      </c>
      <c r="E144" s="34">
        <v>43687</v>
      </c>
      <c r="F144" s="35">
        <v>5</v>
      </c>
      <c r="G144" s="35" t="str">
        <f t="shared" si="10"/>
        <v>Кепка a ’la Lenin</v>
      </c>
      <c r="H144" s="35">
        <v>2</v>
      </c>
      <c r="I144" s="35">
        <f t="shared" si="11"/>
        <v>440.00000000000006</v>
      </c>
      <c r="J144" s="36">
        <f t="shared" si="12"/>
        <v>880.00000000000011</v>
      </c>
      <c r="K144">
        <f t="shared" si="13"/>
        <v>4</v>
      </c>
      <c r="O144">
        <f t="shared" ca="1" si="14"/>
        <v>27</v>
      </c>
    </row>
    <row r="145" spans="4:15" ht="15.6" x14ac:dyDescent="0.3">
      <c r="D145">
        <v>84</v>
      </c>
      <c r="E145" s="34">
        <v>43687</v>
      </c>
      <c r="F145" s="35">
        <v>5</v>
      </c>
      <c r="G145" s="35" t="str">
        <f t="shared" si="10"/>
        <v>Кепка a ’la Lenin</v>
      </c>
      <c r="H145" s="35">
        <v>5</v>
      </c>
      <c r="I145" s="35">
        <f t="shared" si="11"/>
        <v>440.00000000000006</v>
      </c>
      <c r="J145" s="36">
        <f t="shared" si="12"/>
        <v>2200.0000000000005</v>
      </c>
      <c r="K145">
        <f t="shared" si="13"/>
        <v>4</v>
      </c>
      <c r="O145">
        <f t="shared" ca="1" si="14"/>
        <v>22</v>
      </c>
    </row>
    <row r="146" spans="4:15" ht="15.6" x14ac:dyDescent="0.3">
      <c r="D146">
        <v>80</v>
      </c>
      <c r="E146" s="34">
        <v>43686</v>
      </c>
      <c r="F146" s="35">
        <v>5</v>
      </c>
      <c r="G146" s="35" t="str">
        <f t="shared" si="10"/>
        <v>Кепка a ’la Lenin</v>
      </c>
      <c r="H146" s="35">
        <v>4</v>
      </c>
      <c r="I146" s="35">
        <f t="shared" si="11"/>
        <v>440.00000000000006</v>
      </c>
      <c r="J146" s="36">
        <f t="shared" si="12"/>
        <v>1760.0000000000002</v>
      </c>
      <c r="K146">
        <f t="shared" si="13"/>
        <v>4</v>
      </c>
      <c r="O146">
        <f t="shared" ca="1" si="14"/>
        <v>5</v>
      </c>
    </row>
    <row r="147" spans="4:15" ht="15.6" x14ac:dyDescent="0.3">
      <c r="D147">
        <v>72</v>
      </c>
      <c r="E147" s="34">
        <v>43685</v>
      </c>
      <c r="F147" s="35">
        <v>5</v>
      </c>
      <c r="G147" s="35" t="str">
        <f t="shared" si="10"/>
        <v>Кепка a ’la Lenin</v>
      </c>
      <c r="H147" s="35">
        <v>8</v>
      </c>
      <c r="I147" s="35">
        <f t="shared" si="11"/>
        <v>440.00000000000006</v>
      </c>
      <c r="J147" s="36">
        <f t="shared" si="12"/>
        <v>3520.0000000000005</v>
      </c>
      <c r="K147">
        <f t="shared" si="13"/>
        <v>4</v>
      </c>
      <c r="O147">
        <f t="shared" ca="1" si="14"/>
        <v>26</v>
      </c>
    </row>
    <row r="148" spans="4:15" ht="15.6" x14ac:dyDescent="0.3">
      <c r="D148">
        <v>65</v>
      </c>
      <c r="E148" s="34">
        <v>43684</v>
      </c>
      <c r="F148" s="35">
        <v>5</v>
      </c>
      <c r="G148" s="35" t="str">
        <f t="shared" si="10"/>
        <v>Кепка a ’la Lenin</v>
      </c>
      <c r="H148" s="35">
        <v>4</v>
      </c>
      <c r="I148" s="35">
        <f t="shared" si="11"/>
        <v>440.00000000000006</v>
      </c>
      <c r="J148" s="36">
        <f t="shared" si="12"/>
        <v>1760.0000000000002</v>
      </c>
      <c r="K148">
        <f t="shared" si="13"/>
        <v>4</v>
      </c>
      <c r="O148">
        <f t="shared" ca="1" si="14"/>
        <v>18</v>
      </c>
    </row>
    <row r="149" spans="4:15" ht="15.6" x14ac:dyDescent="0.3">
      <c r="D149">
        <v>57</v>
      </c>
      <c r="E149" s="34">
        <v>43683</v>
      </c>
      <c r="F149" s="35">
        <v>5</v>
      </c>
      <c r="G149" s="35" t="str">
        <f t="shared" si="10"/>
        <v>Кепка a ’la Lenin</v>
      </c>
      <c r="H149" s="35">
        <v>9</v>
      </c>
      <c r="I149" s="35">
        <f t="shared" si="11"/>
        <v>440.00000000000006</v>
      </c>
      <c r="J149" s="36">
        <f t="shared" si="12"/>
        <v>3960.0000000000005</v>
      </c>
      <c r="K149">
        <f t="shared" si="13"/>
        <v>4</v>
      </c>
      <c r="O149">
        <f t="shared" ca="1" si="14"/>
        <v>14</v>
      </c>
    </row>
    <row r="150" spans="4:15" ht="15.6" x14ac:dyDescent="0.3">
      <c r="D150">
        <v>49</v>
      </c>
      <c r="E150" s="34">
        <v>43682</v>
      </c>
      <c r="F150" s="35">
        <v>5</v>
      </c>
      <c r="G150" s="35" t="str">
        <f t="shared" si="10"/>
        <v>Кепка a ’la Lenin</v>
      </c>
      <c r="H150" s="35">
        <v>4</v>
      </c>
      <c r="I150" s="35">
        <f t="shared" si="11"/>
        <v>440.00000000000006</v>
      </c>
      <c r="J150" s="36">
        <f t="shared" si="12"/>
        <v>1760.0000000000002</v>
      </c>
      <c r="K150">
        <f t="shared" si="13"/>
        <v>4</v>
      </c>
      <c r="O150">
        <f t="shared" ca="1" si="14"/>
        <v>24</v>
      </c>
    </row>
    <row r="151" spans="4:15" ht="15.6" x14ac:dyDescent="0.3">
      <c r="D151">
        <v>48</v>
      </c>
      <c r="E151" s="34">
        <v>43682</v>
      </c>
      <c r="F151" s="35">
        <v>5</v>
      </c>
      <c r="G151" s="35" t="str">
        <f t="shared" si="10"/>
        <v>Кепка a ’la Lenin</v>
      </c>
      <c r="H151" s="35">
        <v>5</v>
      </c>
      <c r="I151" s="35">
        <f t="shared" si="11"/>
        <v>440.00000000000006</v>
      </c>
      <c r="J151" s="36">
        <f t="shared" si="12"/>
        <v>2200.0000000000005</v>
      </c>
      <c r="K151">
        <f t="shared" si="13"/>
        <v>4</v>
      </c>
      <c r="O151">
        <f t="shared" ca="1" si="14"/>
        <v>14</v>
      </c>
    </row>
    <row r="152" spans="4:15" ht="15.6" x14ac:dyDescent="0.3">
      <c r="D152">
        <v>47</v>
      </c>
      <c r="E152" s="34">
        <v>43682</v>
      </c>
      <c r="F152" s="35">
        <v>5</v>
      </c>
      <c r="G152" s="35" t="str">
        <f t="shared" si="10"/>
        <v>Кепка a ’la Lenin</v>
      </c>
      <c r="H152" s="35">
        <v>10</v>
      </c>
      <c r="I152" s="35">
        <f t="shared" si="11"/>
        <v>440.00000000000006</v>
      </c>
      <c r="J152" s="36">
        <f t="shared" si="12"/>
        <v>4400.0000000000009</v>
      </c>
      <c r="K152">
        <f t="shared" si="13"/>
        <v>4</v>
      </c>
      <c r="O152">
        <f t="shared" ca="1" si="14"/>
        <v>15</v>
      </c>
    </row>
    <row r="153" spans="4:15" ht="15.6" x14ac:dyDescent="0.3">
      <c r="D153">
        <v>38</v>
      </c>
      <c r="E153" s="34">
        <v>43681</v>
      </c>
      <c r="F153" s="35">
        <v>5</v>
      </c>
      <c r="G153" s="35" t="str">
        <f t="shared" si="10"/>
        <v>Кепка a ’la Lenin</v>
      </c>
      <c r="H153" s="35">
        <v>1</v>
      </c>
      <c r="I153" s="35">
        <f t="shared" si="11"/>
        <v>440.00000000000006</v>
      </c>
      <c r="J153" s="36">
        <f t="shared" si="12"/>
        <v>440.00000000000006</v>
      </c>
      <c r="K153">
        <f t="shared" si="13"/>
        <v>4</v>
      </c>
      <c r="O153">
        <f t="shared" ca="1" si="14"/>
        <v>22</v>
      </c>
    </row>
    <row r="154" spans="4:15" ht="15.6" x14ac:dyDescent="0.3">
      <c r="D154">
        <v>311</v>
      </c>
      <c r="E154" s="34">
        <v>44236</v>
      </c>
      <c r="F154" s="35">
        <v>6</v>
      </c>
      <c r="G154" s="35" t="s">
        <v>28</v>
      </c>
      <c r="H154" s="35">
        <v>5</v>
      </c>
      <c r="I154" s="35">
        <v>600</v>
      </c>
      <c r="J154" s="36">
        <v>3000</v>
      </c>
      <c r="K154">
        <f t="shared" si="13"/>
        <v>4</v>
      </c>
      <c r="O154">
        <f t="shared" ca="1" si="14"/>
        <v>20</v>
      </c>
    </row>
    <row r="155" spans="4:15" ht="15.6" x14ac:dyDescent="0.3">
      <c r="D155">
        <v>304</v>
      </c>
      <c r="E155" s="34">
        <v>43810</v>
      </c>
      <c r="F155" s="35">
        <v>6</v>
      </c>
      <c r="G155" s="35" t="s">
        <v>28</v>
      </c>
      <c r="H155" s="35">
        <v>5</v>
      </c>
      <c r="I155" s="35">
        <v>600</v>
      </c>
      <c r="J155" s="36">
        <v>3000</v>
      </c>
      <c r="K155">
        <f t="shared" si="13"/>
        <v>4</v>
      </c>
      <c r="O155">
        <f t="shared" ca="1" si="14"/>
        <v>15</v>
      </c>
    </row>
    <row r="156" spans="4:15" ht="15.6" x14ac:dyDescent="0.3">
      <c r="D156">
        <v>300</v>
      </c>
      <c r="E156" s="34">
        <v>43707</v>
      </c>
      <c r="F156" s="35">
        <v>6</v>
      </c>
      <c r="G156" s="35" t="str">
        <f t="shared" ref="G156:G187" si="15">VLOOKUP(F156,имя,2)</f>
        <v>Кепка a 'la Luzkov</v>
      </c>
      <c r="H156" s="35">
        <v>8</v>
      </c>
      <c r="I156" s="35">
        <f t="shared" ref="I156:I187" si="16" xml:space="preserve"> VLOOKUP(F156, имя,4) * (1 + VLOOKUP(F156, имя,5))</f>
        <v>600</v>
      </c>
      <c r="J156" s="36">
        <f t="shared" ref="J156:J187" si="17" xml:space="preserve"> H156 * I156</f>
        <v>4800</v>
      </c>
      <c r="K156">
        <f t="shared" si="13"/>
        <v>4</v>
      </c>
      <c r="O156">
        <f t="shared" ca="1" si="14"/>
        <v>12</v>
      </c>
    </row>
    <row r="157" spans="4:15" ht="15.6" x14ac:dyDescent="0.3">
      <c r="D157">
        <v>299</v>
      </c>
      <c r="E157" s="34">
        <v>43707</v>
      </c>
      <c r="F157" s="35">
        <v>6</v>
      </c>
      <c r="G157" s="35" t="str">
        <f t="shared" si="15"/>
        <v>Кепка a 'la Luzkov</v>
      </c>
      <c r="H157" s="35">
        <v>8</v>
      </c>
      <c r="I157" s="35">
        <f t="shared" si="16"/>
        <v>600</v>
      </c>
      <c r="J157" s="36">
        <f t="shared" si="17"/>
        <v>4800</v>
      </c>
      <c r="K157">
        <f t="shared" si="13"/>
        <v>4</v>
      </c>
      <c r="O157">
        <f t="shared" ca="1" si="14"/>
        <v>4</v>
      </c>
    </row>
    <row r="158" spans="4:15" ht="15.6" x14ac:dyDescent="0.3">
      <c r="D158">
        <v>291</v>
      </c>
      <c r="E158" s="34">
        <v>43706</v>
      </c>
      <c r="F158" s="35">
        <v>6</v>
      </c>
      <c r="G158" s="35" t="str">
        <f t="shared" si="15"/>
        <v>Кепка a 'la Luzkov</v>
      </c>
      <c r="H158" s="35">
        <v>8</v>
      </c>
      <c r="I158" s="35">
        <f t="shared" si="16"/>
        <v>600</v>
      </c>
      <c r="J158" s="36">
        <f t="shared" si="17"/>
        <v>4800</v>
      </c>
      <c r="K158">
        <f t="shared" si="13"/>
        <v>4</v>
      </c>
      <c r="O158">
        <f t="shared" ca="1" si="14"/>
        <v>1</v>
      </c>
    </row>
    <row r="159" spans="4:15" ht="15.6" x14ac:dyDescent="0.3">
      <c r="D159">
        <v>290</v>
      </c>
      <c r="E159" s="34">
        <v>43706</v>
      </c>
      <c r="F159" s="35">
        <v>6</v>
      </c>
      <c r="G159" s="35" t="str">
        <f t="shared" si="15"/>
        <v>Кепка a 'la Luzkov</v>
      </c>
      <c r="H159" s="35">
        <v>8</v>
      </c>
      <c r="I159" s="35">
        <f t="shared" si="16"/>
        <v>600</v>
      </c>
      <c r="J159" s="36">
        <f t="shared" si="17"/>
        <v>4800</v>
      </c>
      <c r="K159">
        <f t="shared" si="13"/>
        <v>4</v>
      </c>
      <c r="O159">
        <f t="shared" ca="1" si="14"/>
        <v>27</v>
      </c>
    </row>
    <row r="160" spans="4:15" ht="15.6" x14ac:dyDescent="0.3">
      <c r="D160">
        <v>289</v>
      </c>
      <c r="E160" s="34">
        <v>43706</v>
      </c>
      <c r="F160" s="35">
        <v>6</v>
      </c>
      <c r="G160" s="35" t="str">
        <f t="shared" si="15"/>
        <v>Кепка a 'la Luzkov</v>
      </c>
      <c r="H160" s="35">
        <v>9</v>
      </c>
      <c r="I160" s="35">
        <f t="shared" si="16"/>
        <v>600</v>
      </c>
      <c r="J160" s="36">
        <f t="shared" si="17"/>
        <v>5400</v>
      </c>
      <c r="K160">
        <f t="shared" si="13"/>
        <v>4</v>
      </c>
      <c r="O160">
        <f t="shared" ca="1" si="14"/>
        <v>22</v>
      </c>
    </row>
    <row r="161" spans="4:15" ht="15.6" x14ac:dyDescent="0.3">
      <c r="D161">
        <v>279</v>
      </c>
      <c r="E161" s="34">
        <v>43705</v>
      </c>
      <c r="F161" s="35">
        <v>6</v>
      </c>
      <c r="G161" s="35" t="str">
        <f t="shared" si="15"/>
        <v>Кепка a 'la Luzkov</v>
      </c>
      <c r="H161" s="35">
        <v>6</v>
      </c>
      <c r="I161" s="35">
        <f t="shared" si="16"/>
        <v>600</v>
      </c>
      <c r="J161" s="36">
        <f t="shared" si="17"/>
        <v>3600</v>
      </c>
      <c r="K161">
        <f t="shared" si="13"/>
        <v>4</v>
      </c>
      <c r="O161">
        <f t="shared" ca="1" si="14"/>
        <v>13</v>
      </c>
    </row>
    <row r="162" spans="4:15" ht="15.6" x14ac:dyDescent="0.3">
      <c r="D162">
        <v>278</v>
      </c>
      <c r="E162" s="34">
        <v>43705</v>
      </c>
      <c r="F162" s="35">
        <v>6</v>
      </c>
      <c r="G162" s="35" t="str">
        <f t="shared" si="15"/>
        <v>Кепка a 'la Luzkov</v>
      </c>
      <c r="H162" s="35">
        <v>9</v>
      </c>
      <c r="I162" s="35">
        <f t="shared" si="16"/>
        <v>600</v>
      </c>
      <c r="J162" s="36">
        <f t="shared" si="17"/>
        <v>5400</v>
      </c>
      <c r="K162">
        <f t="shared" si="13"/>
        <v>4</v>
      </c>
      <c r="O162">
        <f t="shared" ca="1" si="14"/>
        <v>28</v>
      </c>
    </row>
    <row r="163" spans="4:15" ht="15.6" x14ac:dyDescent="0.3">
      <c r="D163">
        <v>265</v>
      </c>
      <c r="E163" s="34">
        <v>43704</v>
      </c>
      <c r="F163" s="35">
        <v>6</v>
      </c>
      <c r="G163" s="35" t="str">
        <f t="shared" si="15"/>
        <v>Кепка a 'la Luzkov</v>
      </c>
      <c r="H163" s="35">
        <v>4</v>
      </c>
      <c r="I163" s="35">
        <f t="shared" si="16"/>
        <v>600</v>
      </c>
      <c r="J163" s="36">
        <f t="shared" si="17"/>
        <v>2400</v>
      </c>
      <c r="K163">
        <f t="shared" si="13"/>
        <v>4</v>
      </c>
      <c r="O163">
        <f t="shared" ca="1" si="14"/>
        <v>8</v>
      </c>
    </row>
    <row r="164" spans="4:15" ht="15.6" x14ac:dyDescent="0.3">
      <c r="D164">
        <v>264</v>
      </c>
      <c r="E164" s="34">
        <v>43704</v>
      </c>
      <c r="F164" s="35">
        <v>6</v>
      </c>
      <c r="G164" s="35" t="str">
        <f t="shared" si="15"/>
        <v>Кепка a 'la Luzkov</v>
      </c>
      <c r="H164" s="35">
        <v>5</v>
      </c>
      <c r="I164" s="35">
        <f t="shared" si="16"/>
        <v>600</v>
      </c>
      <c r="J164" s="36">
        <f t="shared" si="17"/>
        <v>3000</v>
      </c>
      <c r="K164">
        <f t="shared" si="13"/>
        <v>4</v>
      </c>
      <c r="O164">
        <f t="shared" ca="1" si="14"/>
        <v>3</v>
      </c>
    </row>
    <row r="165" spans="4:15" ht="15.6" x14ac:dyDescent="0.3">
      <c r="D165">
        <v>263</v>
      </c>
      <c r="E165" s="34">
        <v>43704</v>
      </c>
      <c r="F165" s="35">
        <v>6</v>
      </c>
      <c r="G165" s="35" t="str">
        <f t="shared" si="15"/>
        <v>Кепка a 'la Luzkov</v>
      </c>
      <c r="H165" s="35">
        <v>7</v>
      </c>
      <c r="I165" s="35">
        <f t="shared" si="16"/>
        <v>600</v>
      </c>
      <c r="J165" s="36">
        <f t="shared" si="17"/>
        <v>4200</v>
      </c>
      <c r="K165">
        <f t="shared" si="13"/>
        <v>4</v>
      </c>
      <c r="O165">
        <f t="shared" ca="1" si="14"/>
        <v>15</v>
      </c>
    </row>
    <row r="166" spans="4:15" ht="15.6" x14ac:dyDescent="0.3">
      <c r="D166">
        <v>256</v>
      </c>
      <c r="E166" s="34">
        <v>43703</v>
      </c>
      <c r="F166" s="35">
        <v>6</v>
      </c>
      <c r="G166" s="35" t="str">
        <f t="shared" si="15"/>
        <v>Кепка a 'la Luzkov</v>
      </c>
      <c r="H166" s="35">
        <v>4</v>
      </c>
      <c r="I166" s="35">
        <f t="shared" si="16"/>
        <v>600</v>
      </c>
      <c r="J166" s="36">
        <f t="shared" si="17"/>
        <v>2400</v>
      </c>
      <c r="K166">
        <f t="shared" si="13"/>
        <v>4</v>
      </c>
      <c r="O166">
        <f t="shared" ca="1" si="14"/>
        <v>15</v>
      </c>
    </row>
    <row r="167" spans="4:15" ht="15.6" x14ac:dyDescent="0.3">
      <c r="D167">
        <v>248</v>
      </c>
      <c r="E167" s="34">
        <v>43702</v>
      </c>
      <c r="F167" s="35">
        <v>6</v>
      </c>
      <c r="G167" s="35" t="str">
        <f t="shared" si="15"/>
        <v>Кепка a 'la Luzkov</v>
      </c>
      <c r="H167" s="35">
        <v>4</v>
      </c>
      <c r="I167" s="35">
        <f t="shared" si="16"/>
        <v>600</v>
      </c>
      <c r="J167" s="36">
        <f t="shared" si="17"/>
        <v>2400</v>
      </c>
      <c r="K167">
        <f t="shared" si="13"/>
        <v>4</v>
      </c>
      <c r="O167">
        <f t="shared" ca="1" si="14"/>
        <v>11</v>
      </c>
    </row>
    <row r="168" spans="4:15" ht="15.6" x14ac:dyDescent="0.3">
      <c r="D168">
        <v>239</v>
      </c>
      <c r="E168" s="34">
        <v>43701</v>
      </c>
      <c r="F168" s="35">
        <v>6</v>
      </c>
      <c r="G168" s="35" t="str">
        <f t="shared" si="15"/>
        <v>Кепка a 'la Luzkov</v>
      </c>
      <c r="H168" s="35">
        <v>9</v>
      </c>
      <c r="I168" s="35">
        <f t="shared" si="16"/>
        <v>600</v>
      </c>
      <c r="J168" s="36">
        <f t="shared" si="17"/>
        <v>5400</v>
      </c>
      <c r="K168">
        <f t="shared" si="13"/>
        <v>4</v>
      </c>
      <c r="O168">
        <f t="shared" ca="1" si="14"/>
        <v>9</v>
      </c>
    </row>
    <row r="169" spans="4:15" ht="15.6" x14ac:dyDescent="0.3">
      <c r="D169">
        <v>238</v>
      </c>
      <c r="E169" s="34">
        <v>43701</v>
      </c>
      <c r="F169" s="35">
        <v>6</v>
      </c>
      <c r="G169" s="35" t="str">
        <f t="shared" si="15"/>
        <v>Кепка a 'la Luzkov</v>
      </c>
      <c r="H169" s="35">
        <v>3</v>
      </c>
      <c r="I169" s="35">
        <f t="shared" si="16"/>
        <v>600</v>
      </c>
      <c r="J169" s="36">
        <f t="shared" si="17"/>
        <v>1800</v>
      </c>
      <c r="K169">
        <f t="shared" si="13"/>
        <v>4</v>
      </c>
      <c r="O169">
        <f t="shared" ca="1" si="14"/>
        <v>10</v>
      </c>
    </row>
    <row r="170" spans="4:15" ht="15.6" x14ac:dyDescent="0.3">
      <c r="D170">
        <v>230</v>
      </c>
      <c r="E170" s="34">
        <v>43700</v>
      </c>
      <c r="F170" s="35">
        <v>6</v>
      </c>
      <c r="G170" s="35" t="str">
        <f t="shared" si="15"/>
        <v>Кепка a 'la Luzkov</v>
      </c>
      <c r="H170" s="35">
        <v>5</v>
      </c>
      <c r="I170" s="35">
        <f t="shared" si="16"/>
        <v>600</v>
      </c>
      <c r="J170" s="36">
        <f t="shared" si="17"/>
        <v>3000</v>
      </c>
      <c r="K170">
        <f t="shared" si="13"/>
        <v>4</v>
      </c>
      <c r="O170">
        <f t="shared" ca="1" si="14"/>
        <v>11</v>
      </c>
    </row>
    <row r="171" spans="4:15" ht="15.6" x14ac:dyDescent="0.3">
      <c r="D171">
        <v>229</v>
      </c>
      <c r="E171" s="34">
        <v>43700</v>
      </c>
      <c r="F171" s="35">
        <v>6</v>
      </c>
      <c r="G171" s="35" t="str">
        <f t="shared" si="15"/>
        <v>Кепка a 'la Luzkov</v>
      </c>
      <c r="H171" s="35">
        <v>9</v>
      </c>
      <c r="I171" s="35">
        <f t="shared" si="16"/>
        <v>600</v>
      </c>
      <c r="J171" s="36">
        <f t="shared" si="17"/>
        <v>5400</v>
      </c>
      <c r="K171">
        <f t="shared" si="13"/>
        <v>4</v>
      </c>
      <c r="O171">
        <f t="shared" ca="1" si="14"/>
        <v>24</v>
      </c>
    </row>
    <row r="172" spans="4:15" ht="15.6" x14ac:dyDescent="0.3">
      <c r="D172">
        <v>217</v>
      </c>
      <c r="E172" s="34">
        <v>43699</v>
      </c>
      <c r="F172" s="35">
        <v>6</v>
      </c>
      <c r="G172" s="35" t="str">
        <f t="shared" si="15"/>
        <v>Кепка a 'la Luzkov</v>
      </c>
      <c r="H172" s="35">
        <v>9</v>
      </c>
      <c r="I172" s="35">
        <f t="shared" si="16"/>
        <v>600</v>
      </c>
      <c r="J172" s="36">
        <f t="shared" si="17"/>
        <v>5400</v>
      </c>
      <c r="K172">
        <f t="shared" si="13"/>
        <v>4</v>
      </c>
      <c r="O172">
        <f t="shared" ca="1" si="14"/>
        <v>24</v>
      </c>
    </row>
    <row r="173" spans="4:15" ht="15.6" x14ac:dyDescent="0.3">
      <c r="D173">
        <v>205</v>
      </c>
      <c r="E173" s="34">
        <v>43698</v>
      </c>
      <c r="F173" s="35">
        <v>6</v>
      </c>
      <c r="G173" s="35" t="str">
        <f t="shared" si="15"/>
        <v>Кепка a 'la Luzkov</v>
      </c>
      <c r="H173" s="35">
        <v>4</v>
      </c>
      <c r="I173" s="35">
        <f t="shared" si="16"/>
        <v>600</v>
      </c>
      <c r="J173" s="36">
        <f t="shared" si="17"/>
        <v>2400</v>
      </c>
      <c r="K173">
        <f t="shared" si="13"/>
        <v>4</v>
      </c>
      <c r="O173">
        <f t="shared" ca="1" si="14"/>
        <v>28</v>
      </c>
    </row>
    <row r="174" spans="4:15" ht="15.6" x14ac:dyDescent="0.3">
      <c r="D174">
        <v>198</v>
      </c>
      <c r="E174" s="34">
        <v>43697</v>
      </c>
      <c r="F174" s="35">
        <v>6</v>
      </c>
      <c r="G174" s="35" t="str">
        <f t="shared" si="15"/>
        <v>Кепка a 'la Luzkov</v>
      </c>
      <c r="H174" s="35">
        <v>7</v>
      </c>
      <c r="I174" s="35">
        <f t="shared" si="16"/>
        <v>600</v>
      </c>
      <c r="J174" s="36">
        <f t="shared" si="17"/>
        <v>4200</v>
      </c>
      <c r="K174">
        <f t="shared" si="13"/>
        <v>4</v>
      </c>
      <c r="O174">
        <f t="shared" ca="1" si="14"/>
        <v>15</v>
      </c>
    </row>
    <row r="175" spans="4:15" ht="15.6" x14ac:dyDescent="0.3">
      <c r="D175">
        <v>197</v>
      </c>
      <c r="E175" s="34">
        <v>43697</v>
      </c>
      <c r="F175" s="35">
        <v>6</v>
      </c>
      <c r="G175" s="35" t="str">
        <f t="shared" si="15"/>
        <v>Кепка a 'la Luzkov</v>
      </c>
      <c r="H175" s="35">
        <v>9</v>
      </c>
      <c r="I175" s="35">
        <f t="shared" si="16"/>
        <v>600</v>
      </c>
      <c r="J175" s="36">
        <f t="shared" si="17"/>
        <v>5400</v>
      </c>
      <c r="K175">
        <f t="shared" si="13"/>
        <v>4</v>
      </c>
      <c r="O175">
        <f t="shared" ca="1" si="14"/>
        <v>1</v>
      </c>
    </row>
    <row r="176" spans="4:15" ht="15.6" x14ac:dyDescent="0.3">
      <c r="D176">
        <v>196</v>
      </c>
      <c r="E176" s="34">
        <v>43697</v>
      </c>
      <c r="F176" s="35">
        <v>6</v>
      </c>
      <c r="G176" s="35" t="str">
        <f t="shared" si="15"/>
        <v>Кепка a 'la Luzkov</v>
      </c>
      <c r="H176" s="35">
        <v>4</v>
      </c>
      <c r="I176" s="35">
        <f t="shared" si="16"/>
        <v>600</v>
      </c>
      <c r="J176" s="36">
        <f t="shared" si="17"/>
        <v>2400</v>
      </c>
      <c r="K176">
        <f t="shared" si="13"/>
        <v>4</v>
      </c>
      <c r="O176">
        <f t="shared" ca="1" si="14"/>
        <v>22</v>
      </c>
    </row>
    <row r="177" spans="4:15" ht="15.6" x14ac:dyDescent="0.3">
      <c r="D177">
        <v>195</v>
      </c>
      <c r="E177" s="34">
        <v>43697</v>
      </c>
      <c r="F177" s="35">
        <v>6</v>
      </c>
      <c r="G177" s="35" t="str">
        <f t="shared" si="15"/>
        <v>Кепка a 'la Luzkov</v>
      </c>
      <c r="H177" s="35">
        <v>3</v>
      </c>
      <c r="I177" s="35">
        <f t="shared" si="16"/>
        <v>600</v>
      </c>
      <c r="J177" s="36">
        <f t="shared" si="17"/>
        <v>1800</v>
      </c>
      <c r="K177">
        <f t="shared" si="13"/>
        <v>4</v>
      </c>
      <c r="O177">
        <f t="shared" ca="1" si="14"/>
        <v>8</v>
      </c>
    </row>
    <row r="178" spans="4:15" ht="15.6" x14ac:dyDescent="0.3">
      <c r="D178">
        <v>194</v>
      </c>
      <c r="E178" s="34">
        <v>43697</v>
      </c>
      <c r="F178" s="35">
        <v>6</v>
      </c>
      <c r="G178" s="35" t="str">
        <f t="shared" si="15"/>
        <v>Кепка a 'la Luzkov</v>
      </c>
      <c r="H178" s="35">
        <v>4</v>
      </c>
      <c r="I178" s="35">
        <f t="shared" si="16"/>
        <v>600</v>
      </c>
      <c r="J178" s="36">
        <f t="shared" si="17"/>
        <v>2400</v>
      </c>
      <c r="K178">
        <f t="shared" si="13"/>
        <v>4</v>
      </c>
      <c r="O178">
        <f t="shared" ca="1" si="14"/>
        <v>28</v>
      </c>
    </row>
    <row r="179" spans="4:15" ht="15.6" x14ac:dyDescent="0.3">
      <c r="D179">
        <v>188</v>
      </c>
      <c r="E179" s="34">
        <v>43696</v>
      </c>
      <c r="F179" s="35">
        <v>6</v>
      </c>
      <c r="G179" s="35" t="str">
        <f t="shared" si="15"/>
        <v>Кепка a 'la Luzkov</v>
      </c>
      <c r="H179" s="35">
        <v>4</v>
      </c>
      <c r="I179" s="35">
        <f t="shared" si="16"/>
        <v>600</v>
      </c>
      <c r="J179" s="36">
        <f t="shared" si="17"/>
        <v>2400</v>
      </c>
      <c r="K179">
        <f t="shared" si="13"/>
        <v>4</v>
      </c>
      <c r="O179">
        <f t="shared" ca="1" si="14"/>
        <v>15</v>
      </c>
    </row>
    <row r="180" spans="4:15" ht="15.6" x14ac:dyDescent="0.3">
      <c r="D180">
        <v>173</v>
      </c>
      <c r="E180" s="34">
        <v>43695</v>
      </c>
      <c r="F180" s="35">
        <v>6</v>
      </c>
      <c r="G180" s="35" t="str">
        <f t="shared" si="15"/>
        <v>Кепка a 'la Luzkov</v>
      </c>
      <c r="H180" s="35">
        <v>8</v>
      </c>
      <c r="I180" s="35">
        <f t="shared" si="16"/>
        <v>600</v>
      </c>
      <c r="J180" s="36">
        <f t="shared" si="17"/>
        <v>4800</v>
      </c>
      <c r="K180">
        <f t="shared" si="13"/>
        <v>4</v>
      </c>
      <c r="O180">
        <f t="shared" ca="1" si="14"/>
        <v>2</v>
      </c>
    </row>
    <row r="181" spans="4:15" ht="15.6" x14ac:dyDescent="0.3">
      <c r="D181">
        <v>172</v>
      </c>
      <c r="E181" s="34">
        <v>43695</v>
      </c>
      <c r="F181" s="35">
        <v>6</v>
      </c>
      <c r="G181" s="35" t="str">
        <f t="shared" si="15"/>
        <v>Кепка a 'la Luzkov</v>
      </c>
      <c r="H181" s="35">
        <v>3</v>
      </c>
      <c r="I181" s="35">
        <f t="shared" si="16"/>
        <v>600</v>
      </c>
      <c r="J181" s="36">
        <f t="shared" si="17"/>
        <v>1800</v>
      </c>
      <c r="K181">
        <f t="shared" si="13"/>
        <v>4</v>
      </c>
      <c r="O181">
        <f t="shared" ca="1" si="14"/>
        <v>18</v>
      </c>
    </row>
    <row r="182" spans="4:15" ht="15.6" x14ac:dyDescent="0.3">
      <c r="D182">
        <v>171</v>
      </c>
      <c r="E182" s="34">
        <v>43695</v>
      </c>
      <c r="F182" s="35">
        <v>6</v>
      </c>
      <c r="G182" s="35" t="str">
        <f t="shared" si="15"/>
        <v>Кепка a 'la Luzkov</v>
      </c>
      <c r="H182" s="35">
        <v>5</v>
      </c>
      <c r="I182" s="35">
        <f t="shared" si="16"/>
        <v>600</v>
      </c>
      <c r="J182" s="36">
        <f t="shared" si="17"/>
        <v>3000</v>
      </c>
      <c r="K182">
        <f t="shared" si="13"/>
        <v>4</v>
      </c>
      <c r="O182">
        <f t="shared" ca="1" si="14"/>
        <v>26</v>
      </c>
    </row>
    <row r="183" spans="4:15" ht="15.6" x14ac:dyDescent="0.3">
      <c r="D183">
        <v>170</v>
      </c>
      <c r="E183" s="34">
        <v>43695</v>
      </c>
      <c r="F183" s="35">
        <v>6</v>
      </c>
      <c r="G183" s="35" t="str">
        <f t="shared" si="15"/>
        <v>Кепка a 'la Luzkov</v>
      </c>
      <c r="H183" s="35">
        <v>7</v>
      </c>
      <c r="I183" s="35">
        <f t="shared" si="16"/>
        <v>600</v>
      </c>
      <c r="J183" s="36">
        <f t="shared" si="17"/>
        <v>4200</v>
      </c>
      <c r="K183">
        <f t="shared" si="13"/>
        <v>4</v>
      </c>
      <c r="O183">
        <f t="shared" ca="1" si="14"/>
        <v>3</v>
      </c>
    </row>
    <row r="184" spans="4:15" ht="15.6" x14ac:dyDescent="0.3">
      <c r="D184">
        <v>169</v>
      </c>
      <c r="E184" s="34">
        <v>43695</v>
      </c>
      <c r="F184" s="35">
        <v>6</v>
      </c>
      <c r="G184" s="35" t="str">
        <f t="shared" si="15"/>
        <v>Кепка a 'la Luzkov</v>
      </c>
      <c r="H184" s="35">
        <v>1</v>
      </c>
      <c r="I184" s="35">
        <f t="shared" si="16"/>
        <v>600</v>
      </c>
      <c r="J184" s="36">
        <f t="shared" si="17"/>
        <v>600</v>
      </c>
      <c r="K184">
        <f t="shared" si="13"/>
        <v>4</v>
      </c>
      <c r="O184">
        <f t="shared" ca="1" si="14"/>
        <v>26</v>
      </c>
    </row>
    <row r="185" spans="4:15" ht="15.6" x14ac:dyDescent="0.3">
      <c r="D185">
        <v>155</v>
      </c>
      <c r="E185" s="34">
        <v>43694</v>
      </c>
      <c r="F185" s="35">
        <v>6</v>
      </c>
      <c r="G185" s="35" t="str">
        <f t="shared" si="15"/>
        <v>Кепка a 'la Luzkov</v>
      </c>
      <c r="H185" s="35">
        <v>2</v>
      </c>
      <c r="I185" s="35">
        <f t="shared" si="16"/>
        <v>600</v>
      </c>
      <c r="J185" s="36">
        <f t="shared" si="17"/>
        <v>1200</v>
      </c>
      <c r="K185">
        <f t="shared" si="13"/>
        <v>4</v>
      </c>
      <c r="O185">
        <f t="shared" ca="1" si="14"/>
        <v>21</v>
      </c>
    </row>
    <row r="186" spans="4:15" ht="15.6" x14ac:dyDescent="0.3">
      <c r="D186">
        <v>154</v>
      </c>
      <c r="E186" s="34">
        <v>43694</v>
      </c>
      <c r="F186" s="35">
        <v>6</v>
      </c>
      <c r="G186" s="35" t="str">
        <f t="shared" si="15"/>
        <v>Кепка a 'la Luzkov</v>
      </c>
      <c r="H186" s="35">
        <v>4</v>
      </c>
      <c r="I186" s="35">
        <f t="shared" si="16"/>
        <v>600</v>
      </c>
      <c r="J186" s="36">
        <f t="shared" si="17"/>
        <v>2400</v>
      </c>
      <c r="K186">
        <f t="shared" si="13"/>
        <v>4</v>
      </c>
      <c r="O186">
        <f t="shared" ca="1" si="14"/>
        <v>29</v>
      </c>
    </row>
    <row r="187" spans="4:15" ht="15.6" x14ac:dyDescent="0.3">
      <c r="D187">
        <v>146</v>
      </c>
      <c r="E187" s="34">
        <v>43693</v>
      </c>
      <c r="F187" s="35">
        <v>6</v>
      </c>
      <c r="G187" s="35" t="str">
        <f t="shared" si="15"/>
        <v>Кепка a 'la Luzkov</v>
      </c>
      <c r="H187" s="35">
        <v>7</v>
      </c>
      <c r="I187" s="35">
        <f t="shared" si="16"/>
        <v>600</v>
      </c>
      <c r="J187" s="36">
        <f t="shared" si="17"/>
        <v>4200</v>
      </c>
      <c r="K187">
        <f t="shared" si="13"/>
        <v>4</v>
      </c>
      <c r="O187">
        <f t="shared" ca="1" si="14"/>
        <v>16</v>
      </c>
    </row>
    <row r="188" spans="4:15" ht="15.6" x14ac:dyDescent="0.3">
      <c r="D188">
        <v>137</v>
      </c>
      <c r="E188" s="34">
        <v>43692</v>
      </c>
      <c r="F188" s="35">
        <v>6</v>
      </c>
      <c r="G188" s="35" t="str">
        <f t="shared" ref="G188:G219" si="18">VLOOKUP(F188,имя,2)</f>
        <v>Кепка a 'la Luzkov</v>
      </c>
      <c r="H188" s="35">
        <v>1</v>
      </c>
      <c r="I188" s="35">
        <f t="shared" ref="I188:I219" si="19" xml:space="preserve"> VLOOKUP(F188, имя,4) * (1 + VLOOKUP(F188, имя,5))</f>
        <v>600</v>
      </c>
      <c r="J188" s="36">
        <f t="shared" ref="J188:J219" si="20" xml:space="preserve"> H188 * I188</f>
        <v>600</v>
      </c>
      <c r="K188">
        <f t="shared" si="13"/>
        <v>4</v>
      </c>
      <c r="O188">
        <f t="shared" ca="1" si="14"/>
        <v>7</v>
      </c>
    </row>
    <row r="189" spans="4:15" ht="15.6" x14ac:dyDescent="0.3">
      <c r="D189">
        <v>136</v>
      </c>
      <c r="E189" s="34">
        <v>43692</v>
      </c>
      <c r="F189" s="35">
        <v>6</v>
      </c>
      <c r="G189" s="35" t="str">
        <f t="shared" si="18"/>
        <v>Кепка a 'la Luzkov</v>
      </c>
      <c r="H189" s="35">
        <v>3</v>
      </c>
      <c r="I189" s="35">
        <f t="shared" si="19"/>
        <v>600</v>
      </c>
      <c r="J189" s="36">
        <f t="shared" si="20"/>
        <v>1800</v>
      </c>
      <c r="K189">
        <f t="shared" si="13"/>
        <v>4</v>
      </c>
      <c r="O189">
        <f t="shared" ca="1" si="14"/>
        <v>8</v>
      </c>
    </row>
    <row r="190" spans="4:15" ht="15.6" x14ac:dyDescent="0.3">
      <c r="D190">
        <v>135</v>
      </c>
      <c r="E190" s="34">
        <v>43692</v>
      </c>
      <c r="F190" s="35">
        <v>6</v>
      </c>
      <c r="G190" s="35" t="str">
        <f t="shared" si="18"/>
        <v>Кепка a 'la Luzkov</v>
      </c>
      <c r="H190" s="35">
        <v>9</v>
      </c>
      <c r="I190" s="35">
        <f t="shared" si="19"/>
        <v>600</v>
      </c>
      <c r="J190" s="36">
        <f t="shared" si="20"/>
        <v>5400</v>
      </c>
      <c r="K190">
        <f t="shared" si="13"/>
        <v>4</v>
      </c>
      <c r="O190">
        <f t="shared" ca="1" si="14"/>
        <v>5</v>
      </c>
    </row>
    <row r="191" spans="4:15" ht="15.6" x14ac:dyDescent="0.3">
      <c r="D191">
        <v>134</v>
      </c>
      <c r="E191" s="34">
        <v>43692</v>
      </c>
      <c r="F191" s="35">
        <v>6</v>
      </c>
      <c r="G191" s="35" t="str">
        <f t="shared" si="18"/>
        <v>Кепка a 'la Luzkov</v>
      </c>
      <c r="H191" s="35">
        <v>5</v>
      </c>
      <c r="I191" s="35">
        <f t="shared" si="19"/>
        <v>600</v>
      </c>
      <c r="J191" s="36">
        <f t="shared" si="20"/>
        <v>3000</v>
      </c>
      <c r="K191">
        <f t="shared" si="13"/>
        <v>4</v>
      </c>
      <c r="O191">
        <f t="shared" ca="1" si="14"/>
        <v>0</v>
      </c>
    </row>
    <row r="192" spans="4:15" ht="15.6" x14ac:dyDescent="0.3">
      <c r="D192">
        <v>120</v>
      </c>
      <c r="E192" s="34">
        <v>43691</v>
      </c>
      <c r="F192" s="35">
        <v>6</v>
      </c>
      <c r="G192" s="35" t="str">
        <f t="shared" si="18"/>
        <v>Кепка a 'la Luzkov</v>
      </c>
      <c r="H192" s="35">
        <v>1</v>
      </c>
      <c r="I192" s="35">
        <f t="shared" si="19"/>
        <v>600</v>
      </c>
      <c r="J192" s="36">
        <f t="shared" si="20"/>
        <v>600</v>
      </c>
      <c r="K192">
        <f t="shared" si="13"/>
        <v>4</v>
      </c>
      <c r="O192">
        <f t="shared" ca="1" si="14"/>
        <v>6</v>
      </c>
    </row>
    <row r="193" spans="4:15" ht="15.6" x14ac:dyDescent="0.3">
      <c r="D193">
        <v>119</v>
      </c>
      <c r="E193" s="34">
        <v>43691</v>
      </c>
      <c r="F193" s="35">
        <v>6</v>
      </c>
      <c r="G193" s="35" t="str">
        <f t="shared" si="18"/>
        <v>Кепка a 'la Luzkov</v>
      </c>
      <c r="H193" s="35">
        <v>2</v>
      </c>
      <c r="I193" s="35">
        <f t="shared" si="19"/>
        <v>600</v>
      </c>
      <c r="J193" s="36">
        <f t="shared" si="20"/>
        <v>1200</v>
      </c>
      <c r="K193">
        <f t="shared" si="13"/>
        <v>4</v>
      </c>
      <c r="O193">
        <f t="shared" ca="1" si="14"/>
        <v>22</v>
      </c>
    </row>
    <row r="194" spans="4:15" ht="15.6" x14ac:dyDescent="0.3">
      <c r="D194">
        <v>118</v>
      </c>
      <c r="E194" s="34">
        <v>43691</v>
      </c>
      <c r="F194" s="35">
        <v>6</v>
      </c>
      <c r="G194" s="35" t="str">
        <f t="shared" si="18"/>
        <v>Кепка a 'la Luzkov</v>
      </c>
      <c r="H194" s="35">
        <v>9</v>
      </c>
      <c r="I194" s="35">
        <f t="shared" si="19"/>
        <v>600</v>
      </c>
      <c r="J194" s="36">
        <f t="shared" si="20"/>
        <v>5400</v>
      </c>
      <c r="K194">
        <f t="shared" si="13"/>
        <v>4</v>
      </c>
      <c r="O194">
        <f t="shared" ca="1" si="14"/>
        <v>4</v>
      </c>
    </row>
    <row r="195" spans="4:15" ht="15.6" x14ac:dyDescent="0.3">
      <c r="D195">
        <v>115</v>
      </c>
      <c r="E195" s="34">
        <v>43690</v>
      </c>
      <c r="F195" s="35">
        <v>6</v>
      </c>
      <c r="G195" s="35" t="str">
        <f t="shared" si="18"/>
        <v>Кепка a 'la Luzkov</v>
      </c>
      <c r="H195" s="35">
        <v>8</v>
      </c>
      <c r="I195" s="35">
        <f t="shared" si="19"/>
        <v>600</v>
      </c>
      <c r="J195" s="36">
        <f t="shared" si="20"/>
        <v>4800</v>
      </c>
      <c r="K195">
        <f t="shared" si="13"/>
        <v>4</v>
      </c>
      <c r="O195">
        <f t="shared" ca="1" si="14"/>
        <v>20</v>
      </c>
    </row>
    <row r="196" spans="4:15" ht="15.6" x14ac:dyDescent="0.3">
      <c r="D196">
        <v>114</v>
      </c>
      <c r="E196" s="34">
        <v>43690</v>
      </c>
      <c r="F196" s="35">
        <v>6</v>
      </c>
      <c r="G196" s="35" t="str">
        <f t="shared" si="18"/>
        <v>Кепка a 'la Luzkov</v>
      </c>
      <c r="H196" s="35">
        <v>7</v>
      </c>
      <c r="I196" s="35">
        <f t="shared" si="19"/>
        <v>600</v>
      </c>
      <c r="J196" s="36">
        <f t="shared" si="20"/>
        <v>4200</v>
      </c>
      <c r="K196">
        <f t="shared" si="13"/>
        <v>4</v>
      </c>
      <c r="O196">
        <f t="shared" ca="1" si="14"/>
        <v>0</v>
      </c>
    </row>
    <row r="197" spans="4:15" ht="15.6" x14ac:dyDescent="0.3">
      <c r="D197">
        <v>103</v>
      </c>
      <c r="E197" s="34">
        <v>43689</v>
      </c>
      <c r="F197" s="35">
        <v>6</v>
      </c>
      <c r="G197" s="35" t="str">
        <f t="shared" si="18"/>
        <v>Кепка a 'la Luzkov</v>
      </c>
      <c r="H197" s="35">
        <v>8</v>
      </c>
      <c r="I197" s="35">
        <f t="shared" si="19"/>
        <v>600</v>
      </c>
      <c r="J197" s="36">
        <f t="shared" si="20"/>
        <v>4800</v>
      </c>
      <c r="K197">
        <f t="shared" si="13"/>
        <v>4</v>
      </c>
      <c r="O197">
        <f t="shared" ca="1" si="14"/>
        <v>0</v>
      </c>
    </row>
    <row r="198" spans="4:15" ht="15.6" x14ac:dyDescent="0.3">
      <c r="D198">
        <v>95</v>
      </c>
      <c r="E198" s="34">
        <v>43688</v>
      </c>
      <c r="F198" s="35">
        <v>6</v>
      </c>
      <c r="G198" s="35" t="str">
        <f t="shared" si="18"/>
        <v>Кепка a 'la Luzkov</v>
      </c>
      <c r="H198" s="35">
        <v>3</v>
      </c>
      <c r="I198" s="35">
        <f t="shared" si="19"/>
        <v>600</v>
      </c>
      <c r="J198" s="36">
        <f t="shared" si="20"/>
        <v>1800</v>
      </c>
      <c r="K198">
        <f t="shared" si="13"/>
        <v>4</v>
      </c>
      <c r="O198">
        <f t="shared" ca="1" si="14"/>
        <v>13</v>
      </c>
    </row>
    <row r="199" spans="4:15" ht="15.6" x14ac:dyDescent="0.3">
      <c r="D199">
        <v>86</v>
      </c>
      <c r="E199" s="34">
        <v>43687</v>
      </c>
      <c r="F199" s="35">
        <v>6</v>
      </c>
      <c r="G199" s="35" t="str">
        <f t="shared" si="18"/>
        <v>Кепка a 'la Luzkov</v>
      </c>
      <c r="H199" s="35">
        <v>4</v>
      </c>
      <c r="I199" s="35">
        <f t="shared" si="19"/>
        <v>600</v>
      </c>
      <c r="J199" s="36">
        <f t="shared" si="20"/>
        <v>2400</v>
      </c>
      <c r="K199">
        <f t="shared" si="13"/>
        <v>4</v>
      </c>
      <c r="O199">
        <f t="shared" ca="1" si="14"/>
        <v>21</v>
      </c>
    </row>
    <row r="200" spans="4:15" ht="15.6" x14ac:dyDescent="0.3">
      <c r="D200">
        <v>74</v>
      </c>
      <c r="E200" s="34">
        <v>43685</v>
      </c>
      <c r="F200" s="35">
        <v>6</v>
      </c>
      <c r="G200" s="35" t="str">
        <f t="shared" si="18"/>
        <v>Кепка a 'la Luzkov</v>
      </c>
      <c r="H200" s="35">
        <v>6</v>
      </c>
      <c r="I200" s="35">
        <f t="shared" si="19"/>
        <v>600</v>
      </c>
      <c r="J200" s="36">
        <f t="shared" si="20"/>
        <v>3600</v>
      </c>
      <c r="K200">
        <f t="shared" si="13"/>
        <v>4</v>
      </c>
      <c r="O200">
        <f t="shared" ca="1" si="14"/>
        <v>21</v>
      </c>
    </row>
    <row r="201" spans="4:15" ht="15.6" x14ac:dyDescent="0.3">
      <c r="D201">
        <v>73</v>
      </c>
      <c r="E201" s="34">
        <v>43685</v>
      </c>
      <c r="F201" s="35">
        <v>6</v>
      </c>
      <c r="G201" s="35" t="str">
        <f t="shared" si="18"/>
        <v>Кепка a 'la Luzkov</v>
      </c>
      <c r="H201" s="35">
        <v>3</v>
      </c>
      <c r="I201" s="35">
        <f t="shared" si="19"/>
        <v>600</v>
      </c>
      <c r="J201" s="36">
        <f t="shared" si="20"/>
        <v>1800</v>
      </c>
      <c r="K201">
        <f t="shared" si="13"/>
        <v>4</v>
      </c>
      <c r="O201">
        <f t="shared" ca="1" si="14"/>
        <v>25</v>
      </c>
    </row>
    <row r="202" spans="4:15" ht="15.6" x14ac:dyDescent="0.3">
      <c r="D202">
        <v>60</v>
      </c>
      <c r="E202" s="34">
        <v>43683</v>
      </c>
      <c r="F202" s="35">
        <v>6</v>
      </c>
      <c r="G202" s="35" t="str">
        <f t="shared" si="18"/>
        <v>Кепка a 'la Luzkov</v>
      </c>
      <c r="H202" s="35">
        <v>2</v>
      </c>
      <c r="I202" s="35">
        <f t="shared" si="19"/>
        <v>600</v>
      </c>
      <c r="J202" s="36">
        <f t="shared" si="20"/>
        <v>1200</v>
      </c>
      <c r="K202">
        <f t="shared" si="13"/>
        <v>4</v>
      </c>
      <c r="O202">
        <f t="shared" ca="1" si="14"/>
        <v>3</v>
      </c>
    </row>
    <row r="203" spans="4:15" ht="15.6" x14ac:dyDescent="0.3">
      <c r="D203">
        <v>59</v>
      </c>
      <c r="E203" s="34">
        <v>43683</v>
      </c>
      <c r="F203" s="35">
        <v>6</v>
      </c>
      <c r="G203" s="35" t="str">
        <f t="shared" si="18"/>
        <v>Кепка a 'la Luzkov</v>
      </c>
      <c r="H203" s="35">
        <v>9</v>
      </c>
      <c r="I203" s="35">
        <f t="shared" si="19"/>
        <v>600</v>
      </c>
      <c r="J203" s="36">
        <f t="shared" si="20"/>
        <v>5400</v>
      </c>
      <c r="K203">
        <f t="shared" si="13"/>
        <v>4</v>
      </c>
      <c r="O203">
        <f t="shared" ca="1" si="14"/>
        <v>0</v>
      </c>
    </row>
    <row r="204" spans="4:15" ht="15.6" x14ac:dyDescent="0.3">
      <c r="D204">
        <v>58</v>
      </c>
      <c r="E204" s="34">
        <v>43683</v>
      </c>
      <c r="F204" s="35">
        <v>6</v>
      </c>
      <c r="G204" s="35" t="str">
        <f t="shared" si="18"/>
        <v>Кепка a 'la Luzkov</v>
      </c>
      <c r="H204" s="35">
        <v>10</v>
      </c>
      <c r="I204" s="35">
        <f t="shared" si="19"/>
        <v>600</v>
      </c>
      <c r="J204" s="36">
        <f t="shared" si="20"/>
        <v>6000</v>
      </c>
      <c r="K204">
        <f t="shared" ref="K204:K267" si="21">VLOOKUP(F204,имя,6)</f>
        <v>4</v>
      </c>
      <c r="O204">
        <f t="shared" ca="1" si="14"/>
        <v>23</v>
      </c>
    </row>
    <row r="205" spans="4:15" ht="15.6" x14ac:dyDescent="0.3">
      <c r="D205">
        <v>51</v>
      </c>
      <c r="E205" s="34">
        <v>43682</v>
      </c>
      <c r="F205" s="35">
        <v>6</v>
      </c>
      <c r="G205" s="35" t="str">
        <f t="shared" si="18"/>
        <v>Кепка a 'la Luzkov</v>
      </c>
      <c r="H205" s="35">
        <v>3</v>
      </c>
      <c r="I205" s="35">
        <f t="shared" si="19"/>
        <v>600</v>
      </c>
      <c r="J205" s="36">
        <f t="shared" si="20"/>
        <v>1800</v>
      </c>
      <c r="K205">
        <f t="shared" si="21"/>
        <v>4</v>
      </c>
      <c r="O205">
        <f t="shared" ref="O205:O268" ca="1" si="22">M205+INT(30*RAND())</f>
        <v>24</v>
      </c>
    </row>
    <row r="206" spans="4:15" ht="15.6" x14ac:dyDescent="0.3">
      <c r="D206">
        <v>50</v>
      </c>
      <c r="E206" s="34">
        <v>43682</v>
      </c>
      <c r="F206" s="35">
        <v>6</v>
      </c>
      <c r="G206" s="35" t="str">
        <f t="shared" si="18"/>
        <v>Кепка a 'la Luzkov</v>
      </c>
      <c r="H206" s="35">
        <v>3</v>
      </c>
      <c r="I206" s="35">
        <f t="shared" si="19"/>
        <v>600</v>
      </c>
      <c r="J206" s="36">
        <f t="shared" si="20"/>
        <v>1800</v>
      </c>
      <c r="K206">
        <f t="shared" si="21"/>
        <v>4</v>
      </c>
      <c r="O206">
        <f t="shared" ca="1" si="22"/>
        <v>2</v>
      </c>
    </row>
    <row r="207" spans="4:15" ht="15.6" x14ac:dyDescent="0.3">
      <c r="D207">
        <v>43</v>
      </c>
      <c r="E207" s="34">
        <v>43681</v>
      </c>
      <c r="F207" s="35">
        <v>6</v>
      </c>
      <c r="G207" s="35" t="str">
        <f t="shared" si="18"/>
        <v>Кепка a 'la Luzkov</v>
      </c>
      <c r="H207" s="35">
        <v>10</v>
      </c>
      <c r="I207" s="35">
        <f t="shared" si="19"/>
        <v>600</v>
      </c>
      <c r="J207" s="36">
        <f t="shared" si="20"/>
        <v>6000</v>
      </c>
      <c r="K207">
        <f t="shared" si="21"/>
        <v>4</v>
      </c>
      <c r="O207">
        <f t="shared" ca="1" si="22"/>
        <v>10</v>
      </c>
    </row>
    <row r="208" spans="4:15" ht="15.6" x14ac:dyDescent="0.3">
      <c r="D208">
        <v>42</v>
      </c>
      <c r="E208" s="34">
        <v>43681</v>
      </c>
      <c r="F208" s="35">
        <v>6</v>
      </c>
      <c r="G208" s="35" t="str">
        <f t="shared" si="18"/>
        <v>Кепка a 'la Luzkov</v>
      </c>
      <c r="H208" s="35">
        <v>9</v>
      </c>
      <c r="I208" s="35">
        <f t="shared" si="19"/>
        <v>600</v>
      </c>
      <c r="J208" s="36">
        <f t="shared" si="20"/>
        <v>5400</v>
      </c>
      <c r="K208">
        <f t="shared" si="21"/>
        <v>4</v>
      </c>
      <c r="O208">
        <f t="shared" ca="1" si="22"/>
        <v>17</v>
      </c>
    </row>
    <row r="209" spans="4:15" ht="15.6" x14ac:dyDescent="0.3">
      <c r="D209">
        <v>41</v>
      </c>
      <c r="E209" s="34">
        <v>43681</v>
      </c>
      <c r="F209" s="35">
        <v>6</v>
      </c>
      <c r="G209" s="35" t="str">
        <f t="shared" si="18"/>
        <v>Кепка a 'la Luzkov</v>
      </c>
      <c r="H209" s="35">
        <v>1</v>
      </c>
      <c r="I209" s="35">
        <f t="shared" si="19"/>
        <v>600</v>
      </c>
      <c r="J209" s="36">
        <f t="shared" si="20"/>
        <v>600</v>
      </c>
      <c r="K209">
        <f t="shared" si="21"/>
        <v>4</v>
      </c>
      <c r="O209">
        <f t="shared" ca="1" si="22"/>
        <v>17</v>
      </c>
    </row>
    <row r="210" spans="4:15" ht="15.6" x14ac:dyDescent="0.3">
      <c r="D210">
        <v>40</v>
      </c>
      <c r="E210" s="34">
        <v>43681</v>
      </c>
      <c r="F210" s="35">
        <v>6</v>
      </c>
      <c r="G210" s="35" t="str">
        <f t="shared" si="18"/>
        <v>Кепка a 'la Luzkov</v>
      </c>
      <c r="H210" s="35">
        <v>7</v>
      </c>
      <c r="I210" s="35">
        <f t="shared" si="19"/>
        <v>600</v>
      </c>
      <c r="J210" s="36">
        <f t="shared" si="20"/>
        <v>4200</v>
      </c>
      <c r="K210">
        <f t="shared" si="21"/>
        <v>4</v>
      </c>
      <c r="O210">
        <f t="shared" ca="1" si="22"/>
        <v>19</v>
      </c>
    </row>
    <row r="211" spans="4:15" ht="15.6" x14ac:dyDescent="0.3">
      <c r="D211">
        <v>39</v>
      </c>
      <c r="E211" s="34">
        <v>43681</v>
      </c>
      <c r="F211" s="35">
        <v>6</v>
      </c>
      <c r="G211" s="35" t="str">
        <f t="shared" si="18"/>
        <v>Кепка a 'la Luzkov</v>
      </c>
      <c r="H211" s="35">
        <v>8</v>
      </c>
      <c r="I211" s="35">
        <f t="shared" si="19"/>
        <v>600</v>
      </c>
      <c r="J211" s="36">
        <f t="shared" si="20"/>
        <v>4800</v>
      </c>
      <c r="K211">
        <f t="shared" si="21"/>
        <v>4</v>
      </c>
      <c r="O211">
        <f t="shared" ca="1" si="22"/>
        <v>14</v>
      </c>
    </row>
    <row r="212" spans="4:15" ht="15.6" x14ac:dyDescent="0.3">
      <c r="D212">
        <v>26</v>
      </c>
      <c r="E212" s="34">
        <v>43680</v>
      </c>
      <c r="F212" s="35">
        <v>6</v>
      </c>
      <c r="G212" s="35" t="str">
        <f t="shared" si="18"/>
        <v>Кепка a 'la Luzkov</v>
      </c>
      <c r="H212" s="35">
        <v>5</v>
      </c>
      <c r="I212" s="35">
        <f t="shared" si="19"/>
        <v>600</v>
      </c>
      <c r="J212" s="36">
        <f t="shared" si="20"/>
        <v>3000</v>
      </c>
      <c r="K212">
        <f t="shared" si="21"/>
        <v>4</v>
      </c>
      <c r="O212">
        <f t="shared" ca="1" si="22"/>
        <v>22</v>
      </c>
    </row>
    <row r="213" spans="4:15" ht="15.6" x14ac:dyDescent="0.3">
      <c r="D213">
        <v>25</v>
      </c>
      <c r="E213" s="34">
        <v>43680</v>
      </c>
      <c r="F213" s="35">
        <v>6</v>
      </c>
      <c r="G213" s="35" t="str">
        <f t="shared" si="18"/>
        <v>Кепка a 'la Luzkov</v>
      </c>
      <c r="H213" s="35">
        <v>2</v>
      </c>
      <c r="I213" s="35">
        <f t="shared" si="19"/>
        <v>600</v>
      </c>
      <c r="J213" s="36">
        <f t="shared" si="20"/>
        <v>1200</v>
      </c>
      <c r="K213">
        <f t="shared" si="21"/>
        <v>4</v>
      </c>
      <c r="O213">
        <f t="shared" ca="1" si="22"/>
        <v>0</v>
      </c>
    </row>
    <row r="214" spans="4:15" ht="15.6" x14ac:dyDescent="0.3">
      <c r="D214">
        <v>15</v>
      </c>
      <c r="E214" s="34">
        <v>43679</v>
      </c>
      <c r="F214" s="35">
        <v>6</v>
      </c>
      <c r="G214" s="35" t="str">
        <f t="shared" si="18"/>
        <v>Кепка a 'la Luzkov</v>
      </c>
      <c r="H214" s="35">
        <v>8</v>
      </c>
      <c r="I214" s="35">
        <f t="shared" si="19"/>
        <v>600</v>
      </c>
      <c r="J214" s="36">
        <f t="shared" si="20"/>
        <v>4800</v>
      </c>
      <c r="K214">
        <f t="shared" si="21"/>
        <v>4</v>
      </c>
      <c r="O214">
        <f t="shared" ca="1" si="22"/>
        <v>25</v>
      </c>
    </row>
    <row r="215" spans="4:15" ht="15.6" x14ac:dyDescent="0.3">
      <c r="D215">
        <v>14</v>
      </c>
      <c r="E215" s="34">
        <v>43679</v>
      </c>
      <c r="F215" s="35">
        <v>6</v>
      </c>
      <c r="G215" s="35" t="str">
        <f t="shared" si="18"/>
        <v>Кепка a 'la Luzkov</v>
      </c>
      <c r="H215" s="35">
        <v>3</v>
      </c>
      <c r="I215" s="35">
        <f t="shared" si="19"/>
        <v>600</v>
      </c>
      <c r="J215" s="36">
        <f t="shared" si="20"/>
        <v>1800</v>
      </c>
      <c r="K215">
        <f t="shared" si="21"/>
        <v>4</v>
      </c>
      <c r="O215">
        <f t="shared" ca="1" si="22"/>
        <v>14</v>
      </c>
    </row>
    <row r="216" spans="4:15" ht="15.6" x14ac:dyDescent="0.3">
      <c r="D216">
        <v>5</v>
      </c>
      <c r="E216" s="34">
        <v>43678</v>
      </c>
      <c r="F216" s="35">
        <v>6</v>
      </c>
      <c r="G216" s="35" t="str">
        <f t="shared" si="18"/>
        <v>Кепка a 'la Luzkov</v>
      </c>
      <c r="H216" s="35">
        <v>3</v>
      </c>
      <c r="I216" s="35">
        <f t="shared" si="19"/>
        <v>600</v>
      </c>
      <c r="J216" s="36">
        <f t="shared" si="20"/>
        <v>1800</v>
      </c>
      <c r="K216">
        <f t="shared" si="21"/>
        <v>4</v>
      </c>
      <c r="O216">
        <f t="shared" ca="1" si="22"/>
        <v>25</v>
      </c>
    </row>
    <row r="217" spans="4:15" ht="15.6" x14ac:dyDescent="0.3">
      <c r="D217">
        <v>4</v>
      </c>
      <c r="E217" s="34">
        <v>43678</v>
      </c>
      <c r="F217" s="35">
        <v>6</v>
      </c>
      <c r="G217" s="35" t="str">
        <f t="shared" si="18"/>
        <v>Кепка a 'la Luzkov</v>
      </c>
      <c r="H217" s="35">
        <v>7</v>
      </c>
      <c r="I217" s="35">
        <f t="shared" si="19"/>
        <v>600</v>
      </c>
      <c r="J217" s="36">
        <f t="shared" si="20"/>
        <v>4200</v>
      </c>
      <c r="K217">
        <f t="shared" si="21"/>
        <v>4</v>
      </c>
      <c r="O217">
        <f t="shared" ca="1" si="22"/>
        <v>12</v>
      </c>
    </row>
    <row r="218" spans="4:15" ht="15.6" x14ac:dyDescent="0.3">
      <c r="D218">
        <v>3</v>
      </c>
      <c r="E218" s="34">
        <v>43678</v>
      </c>
      <c r="F218" s="35">
        <v>6</v>
      </c>
      <c r="G218" s="35" t="str">
        <f t="shared" si="18"/>
        <v>Кепка a 'la Luzkov</v>
      </c>
      <c r="H218" s="35">
        <v>7</v>
      </c>
      <c r="I218" s="35">
        <f t="shared" si="19"/>
        <v>600</v>
      </c>
      <c r="J218" s="36">
        <f t="shared" si="20"/>
        <v>4200</v>
      </c>
      <c r="K218">
        <f t="shared" si="21"/>
        <v>4</v>
      </c>
      <c r="O218">
        <f t="shared" ca="1" si="22"/>
        <v>17</v>
      </c>
    </row>
    <row r="219" spans="4:15" ht="15.6" x14ac:dyDescent="0.3">
      <c r="D219">
        <v>294</v>
      </c>
      <c r="E219" s="34">
        <v>43707</v>
      </c>
      <c r="F219" s="35">
        <v>2</v>
      </c>
      <c r="G219" s="35" t="str">
        <f t="shared" si="18"/>
        <v>Лапти дубовые</v>
      </c>
      <c r="H219" s="35">
        <v>7</v>
      </c>
      <c r="I219" s="35">
        <f t="shared" si="19"/>
        <v>240</v>
      </c>
      <c r="J219" s="36">
        <f t="shared" si="20"/>
        <v>1680</v>
      </c>
      <c r="K219">
        <f t="shared" si="21"/>
        <v>1</v>
      </c>
      <c r="O219">
        <f t="shared" ca="1" si="22"/>
        <v>13</v>
      </c>
    </row>
    <row r="220" spans="4:15" ht="15.6" x14ac:dyDescent="0.3">
      <c r="D220">
        <v>293</v>
      </c>
      <c r="E220" s="34">
        <v>43707</v>
      </c>
      <c r="F220" s="35">
        <v>2</v>
      </c>
      <c r="G220" s="35" t="str">
        <f t="shared" ref="G220:G251" si="23">VLOOKUP(F220,имя,2)</f>
        <v>Лапти дубовые</v>
      </c>
      <c r="H220" s="35">
        <v>9</v>
      </c>
      <c r="I220" s="35">
        <f t="shared" ref="I220:I251" si="24" xml:space="preserve"> VLOOKUP(F220, имя,4) * (1 + VLOOKUP(F220, имя,5))</f>
        <v>240</v>
      </c>
      <c r="J220" s="36">
        <f t="shared" ref="J220:J251" si="25" xml:space="preserve"> H220 * I220</f>
        <v>2160</v>
      </c>
      <c r="K220">
        <f t="shared" si="21"/>
        <v>1</v>
      </c>
      <c r="O220">
        <f t="shared" ca="1" si="22"/>
        <v>10</v>
      </c>
    </row>
    <row r="221" spans="4:15" ht="15.6" x14ac:dyDescent="0.3">
      <c r="D221">
        <v>292</v>
      </c>
      <c r="E221" s="34">
        <v>43707</v>
      </c>
      <c r="F221" s="35">
        <v>2</v>
      </c>
      <c r="G221" s="35" t="str">
        <f t="shared" si="23"/>
        <v>Лапти дубовые</v>
      </c>
      <c r="H221" s="35">
        <v>2</v>
      </c>
      <c r="I221" s="35">
        <f t="shared" si="24"/>
        <v>240</v>
      </c>
      <c r="J221" s="36">
        <f t="shared" si="25"/>
        <v>480</v>
      </c>
      <c r="K221">
        <f t="shared" si="21"/>
        <v>1</v>
      </c>
      <c r="O221">
        <f t="shared" ca="1" si="22"/>
        <v>5</v>
      </c>
    </row>
    <row r="222" spans="4:15" ht="15.6" x14ac:dyDescent="0.3">
      <c r="D222">
        <v>282</v>
      </c>
      <c r="E222" s="34">
        <v>43706</v>
      </c>
      <c r="F222" s="35">
        <v>2</v>
      </c>
      <c r="G222" s="35" t="str">
        <f t="shared" si="23"/>
        <v>Лапти дубовые</v>
      </c>
      <c r="H222" s="35">
        <v>1</v>
      </c>
      <c r="I222" s="35">
        <f t="shared" si="24"/>
        <v>240</v>
      </c>
      <c r="J222" s="36">
        <f t="shared" si="25"/>
        <v>240</v>
      </c>
      <c r="K222">
        <f t="shared" si="21"/>
        <v>1</v>
      </c>
      <c r="O222">
        <f t="shared" ca="1" si="22"/>
        <v>8</v>
      </c>
    </row>
    <row r="223" spans="4:15" ht="15.6" x14ac:dyDescent="0.3">
      <c r="D223">
        <v>272</v>
      </c>
      <c r="E223" s="34">
        <v>43705</v>
      </c>
      <c r="F223" s="35">
        <v>2</v>
      </c>
      <c r="G223" s="35" t="str">
        <f t="shared" si="23"/>
        <v>Лапти дубовые</v>
      </c>
      <c r="H223" s="35">
        <v>6</v>
      </c>
      <c r="I223" s="35">
        <f t="shared" si="24"/>
        <v>240</v>
      </c>
      <c r="J223" s="36">
        <f t="shared" si="25"/>
        <v>1440</v>
      </c>
      <c r="K223">
        <f t="shared" si="21"/>
        <v>1</v>
      </c>
      <c r="O223">
        <f t="shared" ca="1" si="22"/>
        <v>20</v>
      </c>
    </row>
    <row r="224" spans="4:15" ht="15.6" x14ac:dyDescent="0.3">
      <c r="D224">
        <v>271</v>
      </c>
      <c r="E224" s="34">
        <v>43705</v>
      </c>
      <c r="F224" s="35">
        <v>2</v>
      </c>
      <c r="G224" s="35" t="str">
        <f t="shared" si="23"/>
        <v>Лапти дубовые</v>
      </c>
      <c r="H224" s="35">
        <v>2</v>
      </c>
      <c r="I224" s="35">
        <f t="shared" si="24"/>
        <v>240</v>
      </c>
      <c r="J224" s="36">
        <f t="shared" si="25"/>
        <v>480</v>
      </c>
      <c r="K224">
        <f t="shared" si="21"/>
        <v>1</v>
      </c>
      <c r="O224">
        <f t="shared" ca="1" si="22"/>
        <v>23</v>
      </c>
    </row>
    <row r="225" spans="4:15" ht="15.6" x14ac:dyDescent="0.3">
      <c r="D225">
        <v>260</v>
      </c>
      <c r="E225" s="34">
        <v>43704</v>
      </c>
      <c r="F225" s="35">
        <v>2</v>
      </c>
      <c r="G225" s="35" t="str">
        <f t="shared" si="23"/>
        <v>Лапти дубовые</v>
      </c>
      <c r="H225" s="35">
        <v>2</v>
      </c>
      <c r="I225" s="35">
        <f t="shared" si="24"/>
        <v>240</v>
      </c>
      <c r="J225" s="36">
        <f t="shared" si="25"/>
        <v>480</v>
      </c>
      <c r="K225">
        <f t="shared" si="21"/>
        <v>1</v>
      </c>
      <c r="O225">
        <f t="shared" ca="1" si="22"/>
        <v>7</v>
      </c>
    </row>
    <row r="226" spans="4:15" ht="15.6" x14ac:dyDescent="0.3">
      <c r="D226">
        <v>253</v>
      </c>
      <c r="E226" s="34">
        <v>43703</v>
      </c>
      <c r="F226" s="35">
        <v>2</v>
      </c>
      <c r="G226" s="35" t="str">
        <f t="shared" si="23"/>
        <v>Лапти дубовые</v>
      </c>
      <c r="H226" s="35">
        <v>2</v>
      </c>
      <c r="I226" s="35">
        <f t="shared" si="24"/>
        <v>240</v>
      </c>
      <c r="J226" s="36">
        <f t="shared" si="25"/>
        <v>480</v>
      </c>
      <c r="K226">
        <f t="shared" si="21"/>
        <v>1</v>
      </c>
      <c r="O226">
        <f t="shared" ca="1" si="22"/>
        <v>28</v>
      </c>
    </row>
    <row r="227" spans="4:15" ht="15.6" x14ac:dyDescent="0.3">
      <c r="D227">
        <v>252</v>
      </c>
      <c r="E227" s="34">
        <v>43703</v>
      </c>
      <c r="F227" s="35">
        <v>2</v>
      </c>
      <c r="G227" s="35" t="str">
        <f t="shared" si="23"/>
        <v>Лапти дубовые</v>
      </c>
      <c r="H227" s="35">
        <v>8</v>
      </c>
      <c r="I227" s="35">
        <f t="shared" si="24"/>
        <v>240</v>
      </c>
      <c r="J227" s="36">
        <f t="shared" si="25"/>
        <v>1920</v>
      </c>
      <c r="K227">
        <f t="shared" si="21"/>
        <v>1</v>
      </c>
      <c r="O227">
        <f t="shared" ca="1" si="22"/>
        <v>14</v>
      </c>
    </row>
    <row r="228" spans="4:15" ht="15.6" x14ac:dyDescent="0.3">
      <c r="D228">
        <v>251</v>
      </c>
      <c r="E228" s="34">
        <v>43703</v>
      </c>
      <c r="F228" s="35">
        <v>2</v>
      </c>
      <c r="G228" s="35" t="str">
        <f t="shared" si="23"/>
        <v>Лапти дубовые</v>
      </c>
      <c r="H228" s="35">
        <v>8</v>
      </c>
      <c r="I228" s="35">
        <f t="shared" si="24"/>
        <v>240</v>
      </c>
      <c r="J228" s="36">
        <f t="shared" si="25"/>
        <v>1920</v>
      </c>
      <c r="K228">
        <f t="shared" si="21"/>
        <v>1</v>
      </c>
      <c r="O228">
        <f t="shared" ca="1" si="22"/>
        <v>25</v>
      </c>
    </row>
    <row r="229" spans="4:15" ht="15.6" x14ac:dyDescent="0.3">
      <c r="D229">
        <v>250</v>
      </c>
      <c r="E229" s="34">
        <v>43703</v>
      </c>
      <c r="F229" s="35">
        <v>2</v>
      </c>
      <c r="G229" s="35" t="str">
        <f t="shared" si="23"/>
        <v>Лапти дубовые</v>
      </c>
      <c r="H229" s="35">
        <v>2</v>
      </c>
      <c r="I229" s="35">
        <f t="shared" si="24"/>
        <v>240</v>
      </c>
      <c r="J229" s="36">
        <f t="shared" si="25"/>
        <v>480</v>
      </c>
      <c r="K229">
        <f t="shared" si="21"/>
        <v>1</v>
      </c>
      <c r="O229">
        <f t="shared" ca="1" si="22"/>
        <v>10</v>
      </c>
    </row>
    <row r="230" spans="4:15" ht="15.6" x14ac:dyDescent="0.3">
      <c r="D230">
        <v>249</v>
      </c>
      <c r="E230" s="34">
        <v>43703</v>
      </c>
      <c r="F230" s="35">
        <v>2</v>
      </c>
      <c r="G230" s="35" t="str">
        <f t="shared" si="23"/>
        <v>Лапти дубовые</v>
      </c>
      <c r="H230" s="35">
        <v>8</v>
      </c>
      <c r="I230" s="35">
        <f t="shared" si="24"/>
        <v>240</v>
      </c>
      <c r="J230" s="36">
        <f t="shared" si="25"/>
        <v>1920</v>
      </c>
      <c r="K230">
        <f t="shared" si="21"/>
        <v>1</v>
      </c>
      <c r="O230">
        <f t="shared" ca="1" si="22"/>
        <v>9</v>
      </c>
    </row>
    <row r="231" spans="4:15" ht="15.6" x14ac:dyDescent="0.3">
      <c r="D231">
        <v>243</v>
      </c>
      <c r="E231" s="34">
        <v>43702</v>
      </c>
      <c r="F231" s="35">
        <v>2</v>
      </c>
      <c r="G231" s="35" t="str">
        <f t="shared" si="23"/>
        <v>Лапти дубовые</v>
      </c>
      <c r="H231" s="35">
        <v>8</v>
      </c>
      <c r="I231" s="35">
        <f t="shared" si="24"/>
        <v>240</v>
      </c>
      <c r="J231" s="36">
        <f t="shared" si="25"/>
        <v>1920</v>
      </c>
      <c r="K231">
        <f t="shared" si="21"/>
        <v>1</v>
      </c>
      <c r="O231">
        <f t="shared" ca="1" si="22"/>
        <v>24</v>
      </c>
    </row>
    <row r="232" spans="4:15" ht="15.6" x14ac:dyDescent="0.3">
      <c r="D232">
        <v>242</v>
      </c>
      <c r="E232" s="34">
        <v>43702</v>
      </c>
      <c r="F232" s="35">
        <v>2</v>
      </c>
      <c r="G232" s="35" t="str">
        <f t="shared" si="23"/>
        <v>Лапти дубовые</v>
      </c>
      <c r="H232" s="35">
        <v>9</v>
      </c>
      <c r="I232" s="35">
        <f t="shared" si="24"/>
        <v>240</v>
      </c>
      <c r="J232" s="36">
        <f t="shared" si="25"/>
        <v>2160</v>
      </c>
      <c r="K232">
        <f t="shared" si="21"/>
        <v>1</v>
      </c>
      <c r="O232">
        <f t="shared" ca="1" si="22"/>
        <v>13</v>
      </c>
    </row>
    <row r="233" spans="4:15" ht="15.6" x14ac:dyDescent="0.3">
      <c r="D233">
        <v>237</v>
      </c>
      <c r="E233" s="34">
        <v>43701</v>
      </c>
      <c r="F233" s="35">
        <v>2</v>
      </c>
      <c r="G233" s="35" t="str">
        <f t="shared" si="23"/>
        <v>Лапти дубовые</v>
      </c>
      <c r="H233" s="35">
        <v>1</v>
      </c>
      <c r="I233" s="35">
        <f t="shared" si="24"/>
        <v>240</v>
      </c>
      <c r="J233" s="36">
        <f t="shared" si="25"/>
        <v>240</v>
      </c>
      <c r="K233">
        <f t="shared" si="21"/>
        <v>1</v>
      </c>
      <c r="O233">
        <f t="shared" ca="1" si="22"/>
        <v>2</v>
      </c>
    </row>
    <row r="234" spans="4:15" ht="15.6" x14ac:dyDescent="0.3">
      <c r="D234">
        <v>236</v>
      </c>
      <c r="E234" s="34">
        <v>43701</v>
      </c>
      <c r="F234" s="35">
        <v>2</v>
      </c>
      <c r="G234" s="35" t="str">
        <f t="shared" si="23"/>
        <v>Лапти дубовые</v>
      </c>
      <c r="H234" s="35">
        <v>9</v>
      </c>
      <c r="I234" s="35">
        <f t="shared" si="24"/>
        <v>240</v>
      </c>
      <c r="J234" s="36">
        <f t="shared" si="25"/>
        <v>2160</v>
      </c>
      <c r="K234">
        <f t="shared" si="21"/>
        <v>1</v>
      </c>
      <c r="O234">
        <f t="shared" ca="1" si="22"/>
        <v>0</v>
      </c>
    </row>
    <row r="235" spans="4:15" ht="15.6" x14ac:dyDescent="0.3">
      <c r="D235">
        <v>235</v>
      </c>
      <c r="E235" s="34">
        <v>43701</v>
      </c>
      <c r="F235" s="35">
        <v>2</v>
      </c>
      <c r="G235" s="35" t="str">
        <f t="shared" si="23"/>
        <v>Лапти дубовые</v>
      </c>
      <c r="H235" s="35">
        <v>4</v>
      </c>
      <c r="I235" s="35">
        <f t="shared" si="24"/>
        <v>240</v>
      </c>
      <c r="J235" s="36">
        <f t="shared" si="25"/>
        <v>960</v>
      </c>
      <c r="K235">
        <f t="shared" si="21"/>
        <v>1</v>
      </c>
      <c r="O235">
        <f t="shared" ca="1" si="22"/>
        <v>0</v>
      </c>
    </row>
    <row r="236" spans="4:15" ht="15.6" x14ac:dyDescent="0.3">
      <c r="D236">
        <v>234</v>
      </c>
      <c r="E236" s="34">
        <v>43701</v>
      </c>
      <c r="F236" s="35">
        <v>2</v>
      </c>
      <c r="G236" s="35" t="str">
        <f t="shared" si="23"/>
        <v>Лапти дубовые</v>
      </c>
      <c r="H236" s="35">
        <v>7</v>
      </c>
      <c r="I236" s="35">
        <f t="shared" si="24"/>
        <v>240</v>
      </c>
      <c r="J236" s="36">
        <f t="shared" si="25"/>
        <v>1680</v>
      </c>
      <c r="K236">
        <f t="shared" si="21"/>
        <v>1</v>
      </c>
      <c r="O236">
        <f t="shared" ca="1" si="22"/>
        <v>9</v>
      </c>
    </row>
    <row r="237" spans="4:15" ht="15.6" x14ac:dyDescent="0.3">
      <c r="D237">
        <v>225</v>
      </c>
      <c r="E237" s="34">
        <v>43700</v>
      </c>
      <c r="F237" s="35">
        <v>2</v>
      </c>
      <c r="G237" s="35" t="str">
        <f t="shared" si="23"/>
        <v>Лапти дубовые</v>
      </c>
      <c r="H237" s="35">
        <v>7</v>
      </c>
      <c r="I237" s="35">
        <f t="shared" si="24"/>
        <v>240</v>
      </c>
      <c r="J237" s="36">
        <f t="shared" si="25"/>
        <v>1680</v>
      </c>
      <c r="K237">
        <f t="shared" si="21"/>
        <v>1</v>
      </c>
      <c r="O237">
        <f t="shared" ca="1" si="22"/>
        <v>2</v>
      </c>
    </row>
    <row r="238" spans="4:15" ht="15.6" x14ac:dyDescent="0.3">
      <c r="D238">
        <v>224</v>
      </c>
      <c r="E238" s="34">
        <v>43700</v>
      </c>
      <c r="F238" s="35">
        <v>2</v>
      </c>
      <c r="G238" s="35" t="str">
        <f t="shared" si="23"/>
        <v>Лапти дубовые</v>
      </c>
      <c r="H238" s="35">
        <v>3</v>
      </c>
      <c r="I238" s="35">
        <f t="shared" si="24"/>
        <v>240</v>
      </c>
      <c r="J238" s="36">
        <f t="shared" si="25"/>
        <v>720</v>
      </c>
      <c r="K238">
        <f t="shared" si="21"/>
        <v>1</v>
      </c>
      <c r="O238">
        <f t="shared" ca="1" si="22"/>
        <v>20</v>
      </c>
    </row>
    <row r="239" spans="4:15" ht="15.6" x14ac:dyDescent="0.3">
      <c r="D239">
        <v>223</v>
      </c>
      <c r="E239" s="34">
        <v>43700</v>
      </c>
      <c r="F239" s="35">
        <v>2</v>
      </c>
      <c r="G239" s="35" t="str">
        <f t="shared" si="23"/>
        <v>Лапти дубовые</v>
      </c>
      <c r="H239" s="35">
        <v>4</v>
      </c>
      <c r="I239" s="35">
        <f t="shared" si="24"/>
        <v>240</v>
      </c>
      <c r="J239" s="36">
        <f t="shared" si="25"/>
        <v>960</v>
      </c>
      <c r="K239">
        <f t="shared" si="21"/>
        <v>1</v>
      </c>
      <c r="O239">
        <f t="shared" ca="1" si="22"/>
        <v>13</v>
      </c>
    </row>
    <row r="240" spans="4:15" ht="15.6" x14ac:dyDescent="0.3">
      <c r="D240">
        <v>222</v>
      </c>
      <c r="E240" s="34">
        <v>43700</v>
      </c>
      <c r="F240" s="35">
        <v>2</v>
      </c>
      <c r="G240" s="35" t="str">
        <f t="shared" si="23"/>
        <v>Лапти дубовые</v>
      </c>
      <c r="H240" s="35">
        <v>7</v>
      </c>
      <c r="I240" s="35">
        <f t="shared" si="24"/>
        <v>240</v>
      </c>
      <c r="J240" s="36">
        <f t="shared" si="25"/>
        <v>1680</v>
      </c>
      <c r="K240">
        <f t="shared" si="21"/>
        <v>1</v>
      </c>
      <c r="O240">
        <f t="shared" ca="1" si="22"/>
        <v>7</v>
      </c>
    </row>
    <row r="241" spans="4:15" ht="15.6" x14ac:dyDescent="0.3">
      <c r="D241">
        <v>213</v>
      </c>
      <c r="E241" s="34">
        <v>43699</v>
      </c>
      <c r="F241" s="35">
        <v>2</v>
      </c>
      <c r="G241" s="35" t="str">
        <f t="shared" si="23"/>
        <v>Лапти дубовые</v>
      </c>
      <c r="H241" s="35">
        <v>1</v>
      </c>
      <c r="I241" s="35">
        <f t="shared" si="24"/>
        <v>240</v>
      </c>
      <c r="J241" s="36">
        <f t="shared" si="25"/>
        <v>240</v>
      </c>
      <c r="K241">
        <f t="shared" si="21"/>
        <v>1</v>
      </c>
      <c r="O241">
        <f t="shared" ca="1" si="22"/>
        <v>27</v>
      </c>
    </row>
    <row r="242" spans="4:15" ht="15.6" x14ac:dyDescent="0.3">
      <c r="D242">
        <v>212</v>
      </c>
      <c r="E242" s="34">
        <v>43699</v>
      </c>
      <c r="F242" s="35">
        <v>2</v>
      </c>
      <c r="G242" s="35" t="str">
        <f t="shared" si="23"/>
        <v>Лапти дубовые</v>
      </c>
      <c r="H242" s="35">
        <v>8</v>
      </c>
      <c r="I242" s="35">
        <f t="shared" si="24"/>
        <v>240</v>
      </c>
      <c r="J242" s="36">
        <f t="shared" si="25"/>
        <v>1920</v>
      </c>
      <c r="K242">
        <f t="shared" si="21"/>
        <v>1</v>
      </c>
      <c r="O242">
        <f t="shared" ca="1" si="22"/>
        <v>12</v>
      </c>
    </row>
    <row r="243" spans="4:15" ht="15.6" x14ac:dyDescent="0.3">
      <c r="D243">
        <v>211</v>
      </c>
      <c r="E243" s="34">
        <v>43699</v>
      </c>
      <c r="F243" s="35">
        <v>2</v>
      </c>
      <c r="G243" s="35" t="str">
        <f t="shared" si="23"/>
        <v>Лапти дубовые</v>
      </c>
      <c r="H243" s="35">
        <v>5</v>
      </c>
      <c r="I243" s="35">
        <f t="shared" si="24"/>
        <v>240</v>
      </c>
      <c r="J243" s="36">
        <f t="shared" si="25"/>
        <v>1200</v>
      </c>
      <c r="K243">
        <f t="shared" si="21"/>
        <v>1</v>
      </c>
      <c r="O243">
        <f t="shared" ca="1" si="22"/>
        <v>4</v>
      </c>
    </row>
    <row r="244" spans="4:15" ht="15.6" x14ac:dyDescent="0.3">
      <c r="D244">
        <v>186</v>
      </c>
      <c r="E244" s="34">
        <v>43696</v>
      </c>
      <c r="F244" s="35">
        <v>2</v>
      </c>
      <c r="G244" s="35" t="str">
        <f t="shared" si="23"/>
        <v>Лапти дубовые</v>
      </c>
      <c r="H244" s="35">
        <v>9</v>
      </c>
      <c r="I244" s="35">
        <f t="shared" si="24"/>
        <v>240</v>
      </c>
      <c r="J244" s="36">
        <f t="shared" si="25"/>
        <v>2160</v>
      </c>
      <c r="K244">
        <f t="shared" si="21"/>
        <v>1</v>
      </c>
      <c r="O244">
        <f t="shared" ca="1" si="22"/>
        <v>13</v>
      </c>
    </row>
    <row r="245" spans="4:15" ht="15.6" x14ac:dyDescent="0.3">
      <c r="D245">
        <v>162</v>
      </c>
      <c r="E245" s="34">
        <v>43695</v>
      </c>
      <c r="F245" s="35">
        <v>2</v>
      </c>
      <c r="G245" s="35" t="str">
        <f t="shared" si="23"/>
        <v>Лапти дубовые</v>
      </c>
      <c r="H245" s="35">
        <v>3</v>
      </c>
      <c r="I245" s="35">
        <f t="shared" si="24"/>
        <v>240</v>
      </c>
      <c r="J245" s="36">
        <f t="shared" si="25"/>
        <v>720</v>
      </c>
      <c r="K245">
        <f t="shared" si="21"/>
        <v>1</v>
      </c>
      <c r="O245">
        <f t="shared" ca="1" si="22"/>
        <v>21</v>
      </c>
    </row>
    <row r="246" spans="4:15" ht="15.6" x14ac:dyDescent="0.3">
      <c r="D246">
        <v>161</v>
      </c>
      <c r="E246" s="34">
        <v>43695</v>
      </c>
      <c r="F246" s="35">
        <v>2</v>
      </c>
      <c r="G246" s="35" t="str">
        <f t="shared" si="23"/>
        <v>Лапти дубовые</v>
      </c>
      <c r="H246" s="35">
        <v>6</v>
      </c>
      <c r="I246" s="35">
        <f t="shared" si="24"/>
        <v>240</v>
      </c>
      <c r="J246" s="36">
        <f t="shared" si="25"/>
        <v>1440</v>
      </c>
      <c r="K246">
        <f t="shared" si="21"/>
        <v>1</v>
      </c>
      <c r="O246">
        <f t="shared" ca="1" si="22"/>
        <v>11</v>
      </c>
    </row>
    <row r="247" spans="4:15" ht="15.6" x14ac:dyDescent="0.3">
      <c r="D247">
        <v>151</v>
      </c>
      <c r="E247" s="34">
        <v>43694</v>
      </c>
      <c r="F247" s="35">
        <v>2</v>
      </c>
      <c r="G247" s="35" t="str">
        <f t="shared" si="23"/>
        <v>Лапти дубовые</v>
      </c>
      <c r="H247" s="35">
        <v>7</v>
      </c>
      <c r="I247" s="35">
        <f t="shared" si="24"/>
        <v>240</v>
      </c>
      <c r="J247" s="36">
        <f t="shared" si="25"/>
        <v>1680</v>
      </c>
      <c r="K247">
        <f t="shared" si="21"/>
        <v>1</v>
      </c>
      <c r="O247">
        <f t="shared" ca="1" si="22"/>
        <v>2</v>
      </c>
    </row>
    <row r="248" spans="4:15" ht="15.6" x14ac:dyDescent="0.3">
      <c r="D248">
        <v>129</v>
      </c>
      <c r="E248" s="34">
        <v>43692</v>
      </c>
      <c r="F248" s="35">
        <v>2</v>
      </c>
      <c r="G248" s="35" t="str">
        <f t="shared" si="23"/>
        <v>Лапти дубовые</v>
      </c>
      <c r="H248" s="35">
        <v>4</v>
      </c>
      <c r="I248" s="35">
        <f t="shared" si="24"/>
        <v>240</v>
      </c>
      <c r="J248" s="36">
        <f t="shared" si="25"/>
        <v>960</v>
      </c>
      <c r="K248">
        <f t="shared" si="21"/>
        <v>1</v>
      </c>
      <c r="O248">
        <f t="shared" ca="1" si="22"/>
        <v>5</v>
      </c>
    </row>
    <row r="249" spans="4:15" ht="15.6" x14ac:dyDescent="0.3">
      <c r="D249">
        <v>128</v>
      </c>
      <c r="E249" s="34">
        <v>43692</v>
      </c>
      <c r="F249" s="35">
        <v>2</v>
      </c>
      <c r="G249" s="35" t="str">
        <f t="shared" si="23"/>
        <v>Лапти дубовые</v>
      </c>
      <c r="H249" s="35">
        <v>5</v>
      </c>
      <c r="I249" s="35">
        <f t="shared" si="24"/>
        <v>240</v>
      </c>
      <c r="J249" s="36">
        <f t="shared" si="25"/>
        <v>1200</v>
      </c>
      <c r="K249">
        <f t="shared" si="21"/>
        <v>1</v>
      </c>
      <c r="O249">
        <f t="shared" ca="1" si="22"/>
        <v>16</v>
      </c>
    </row>
    <row r="250" spans="4:15" ht="15.6" x14ac:dyDescent="0.3">
      <c r="D250">
        <v>110</v>
      </c>
      <c r="E250" s="34">
        <v>43690</v>
      </c>
      <c r="F250" s="35">
        <v>2</v>
      </c>
      <c r="G250" s="35" t="str">
        <f t="shared" si="23"/>
        <v>Лапти дубовые</v>
      </c>
      <c r="H250" s="35">
        <v>4</v>
      </c>
      <c r="I250" s="35">
        <f t="shared" si="24"/>
        <v>240</v>
      </c>
      <c r="J250" s="36">
        <f t="shared" si="25"/>
        <v>960</v>
      </c>
      <c r="K250">
        <f t="shared" si="21"/>
        <v>1</v>
      </c>
      <c r="O250">
        <f t="shared" ca="1" si="22"/>
        <v>18</v>
      </c>
    </row>
    <row r="251" spans="4:15" ht="15.6" x14ac:dyDescent="0.3">
      <c r="D251">
        <v>109</v>
      </c>
      <c r="E251" s="34">
        <v>43690</v>
      </c>
      <c r="F251" s="35">
        <v>2</v>
      </c>
      <c r="G251" s="35" t="str">
        <f t="shared" si="23"/>
        <v>Лапти дубовые</v>
      </c>
      <c r="H251" s="35">
        <v>9</v>
      </c>
      <c r="I251" s="35">
        <f t="shared" si="24"/>
        <v>240</v>
      </c>
      <c r="J251" s="36">
        <f t="shared" si="25"/>
        <v>2160</v>
      </c>
      <c r="K251">
        <f t="shared" si="21"/>
        <v>1</v>
      </c>
      <c r="O251">
        <f t="shared" ca="1" si="22"/>
        <v>6</v>
      </c>
    </row>
    <row r="252" spans="4:15" ht="15.6" x14ac:dyDescent="0.3">
      <c r="D252">
        <v>108</v>
      </c>
      <c r="E252" s="34">
        <v>43690</v>
      </c>
      <c r="F252" s="35">
        <v>2</v>
      </c>
      <c r="G252" s="35" t="str">
        <f t="shared" ref="G252:G283" si="26">VLOOKUP(F252,имя,2)</f>
        <v>Лапти дубовые</v>
      </c>
      <c r="H252" s="35">
        <v>2</v>
      </c>
      <c r="I252" s="35">
        <f t="shared" ref="I252:I270" si="27" xml:space="preserve"> VLOOKUP(F252, имя,4) * (1 + VLOOKUP(F252, имя,5))</f>
        <v>240</v>
      </c>
      <c r="J252" s="36">
        <f t="shared" ref="J252:J283" si="28" xml:space="preserve"> H252 * I252</f>
        <v>480</v>
      </c>
      <c r="K252">
        <f t="shared" si="21"/>
        <v>1</v>
      </c>
      <c r="O252">
        <f t="shared" ca="1" si="22"/>
        <v>27</v>
      </c>
    </row>
    <row r="253" spans="4:15" ht="15.6" x14ac:dyDescent="0.3">
      <c r="D253">
        <v>107</v>
      </c>
      <c r="E253" s="34">
        <v>43690</v>
      </c>
      <c r="F253" s="35">
        <v>2</v>
      </c>
      <c r="G253" s="35" t="str">
        <f t="shared" si="26"/>
        <v>Лапти дубовые</v>
      </c>
      <c r="H253" s="35">
        <v>2</v>
      </c>
      <c r="I253" s="35">
        <f t="shared" si="27"/>
        <v>240</v>
      </c>
      <c r="J253" s="36">
        <f t="shared" si="28"/>
        <v>480</v>
      </c>
      <c r="K253">
        <f t="shared" si="21"/>
        <v>1</v>
      </c>
      <c r="O253">
        <f t="shared" ca="1" si="22"/>
        <v>16</v>
      </c>
    </row>
    <row r="254" spans="4:15" ht="15.6" x14ac:dyDescent="0.3">
      <c r="D254">
        <v>100</v>
      </c>
      <c r="E254" s="34">
        <v>43689</v>
      </c>
      <c r="F254" s="35">
        <v>2</v>
      </c>
      <c r="G254" s="35" t="str">
        <f t="shared" si="26"/>
        <v>Лапти дубовые</v>
      </c>
      <c r="H254" s="35">
        <v>7</v>
      </c>
      <c r="I254" s="35">
        <f t="shared" si="27"/>
        <v>240</v>
      </c>
      <c r="J254" s="36">
        <f t="shared" si="28"/>
        <v>1680</v>
      </c>
      <c r="K254">
        <f t="shared" si="21"/>
        <v>1</v>
      </c>
      <c r="O254">
        <f t="shared" ca="1" si="22"/>
        <v>29</v>
      </c>
    </row>
    <row r="255" spans="4:15" ht="15.6" x14ac:dyDescent="0.3">
      <c r="D255">
        <v>99</v>
      </c>
      <c r="E255" s="34">
        <v>43689</v>
      </c>
      <c r="F255" s="35">
        <v>2</v>
      </c>
      <c r="G255" s="35" t="str">
        <f t="shared" si="26"/>
        <v>Лапти дубовые</v>
      </c>
      <c r="H255" s="35">
        <v>1</v>
      </c>
      <c r="I255" s="35">
        <f t="shared" si="27"/>
        <v>240</v>
      </c>
      <c r="J255" s="36">
        <f t="shared" si="28"/>
        <v>240</v>
      </c>
      <c r="K255">
        <f t="shared" si="21"/>
        <v>1</v>
      </c>
      <c r="O255">
        <f t="shared" ca="1" si="22"/>
        <v>22</v>
      </c>
    </row>
    <row r="256" spans="4:15" ht="15.6" x14ac:dyDescent="0.3">
      <c r="D256">
        <v>92</v>
      </c>
      <c r="E256" s="34">
        <v>43688</v>
      </c>
      <c r="F256" s="35">
        <v>2</v>
      </c>
      <c r="G256" s="35" t="str">
        <f t="shared" si="26"/>
        <v>Лапти дубовые</v>
      </c>
      <c r="H256" s="35">
        <v>1</v>
      </c>
      <c r="I256" s="35">
        <f t="shared" si="27"/>
        <v>240</v>
      </c>
      <c r="J256" s="36">
        <f t="shared" si="28"/>
        <v>240</v>
      </c>
      <c r="K256">
        <f t="shared" si="21"/>
        <v>1</v>
      </c>
      <c r="O256">
        <f t="shared" ca="1" si="22"/>
        <v>15</v>
      </c>
    </row>
    <row r="257" spans="4:15" ht="15.6" x14ac:dyDescent="0.3">
      <c r="D257">
        <v>91</v>
      </c>
      <c r="E257" s="34">
        <v>43688</v>
      </c>
      <c r="F257" s="35">
        <v>2</v>
      </c>
      <c r="G257" s="35" t="str">
        <f t="shared" si="26"/>
        <v>Лапти дубовые</v>
      </c>
      <c r="H257" s="35">
        <v>5</v>
      </c>
      <c r="I257" s="35">
        <f t="shared" si="27"/>
        <v>240</v>
      </c>
      <c r="J257" s="36">
        <f t="shared" si="28"/>
        <v>1200</v>
      </c>
      <c r="K257">
        <f t="shared" si="21"/>
        <v>1</v>
      </c>
      <c r="O257">
        <f t="shared" ca="1" si="22"/>
        <v>4</v>
      </c>
    </row>
    <row r="258" spans="4:15" ht="15.6" x14ac:dyDescent="0.3">
      <c r="D258">
        <v>90</v>
      </c>
      <c r="E258" s="34">
        <v>43688</v>
      </c>
      <c r="F258" s="35">
        <v>2</v>
      </c>
      <c r="G258" s="35" t="str">
        <f t="shared" si="26"/>
        <v>Лапти дубовые</v>
      </c>
      <c r="H258" s="35">
        <v>7</v>
      </c>
      <c r="I258" s="35">
        <f t="shared" si="27"/>
        <v>240</v>
      </c>
      <c r="J258" s="36">
        <f t="shared" si="28"/>
        <v>1680</v>
      </c>
      <c r="K258">
        <f t="shared" si="21"/>
        <v>1</v>
      </c>
      <c r="O258">
        <f t="shared" ca="1" si="22"/>
        <v>7</v>
      </c>
    </row>
    <row r="259" spans="4:15" ht="15.6" x14ac:dyDescent="0.3">
      <c r="D259">
        <v>83</v>
      </c>
      <c r="E259" s="34">
        <v>43687</v>
      </c>
      <c r="F259" s="35">
        <v>2</v>
      </c>
      <c r="G259" s="35" t="str">
        <f t="shared" si="26"/>
        <v>Лапти дубовые</v>
      </c>
      <c r="H259" s="35">
        <v>9</v>
      </c>
      <c r="I259" s="35">
        <f t="shared" si="27"/>
        <v>240</v>
      </c>
      <c r="J259" s="36">
        <f t="shared" si="28"/>
        <v>2160</v>
      </c>
      <c r="K259">
        <f t="shared" si="21"/>
        <v>1</v>
      </c>
      <c r="O259">
        <f t="shared" ca="1" si="22"/>
        <v>21</v>
      </c>
    </row>
    <row r="260" spans="4:15" ht="15.6" x14ac:dyDescent="0.3">
      <c r="D260">
        <v>76</v>
      </c>
      <c r="E260" s="34">
        <v>43686</v>
      </c>
      <c r="F260" s="35">
        <v>2</v>
      </c>
      <c r="G260" s="35" t="str">
        <f t="shared" si="26"/>
        <v>Лапти дубовые</v>
      </c>
      <c r="H260" s="35">
        <v>1</v>
      </c>
      <c r="I260" s="35">
        <f t="shared" si="27"/>
        <v>240</v>
      </c>
      <c r="J260" s="36">
        <f t="shared" si="28"/>
        <v>240</v>
      </c>
      <c r="K260">
        <f t="shared" si="21"/>
        <v>1</v>
      </c>
      <c r="O260">
        <f t="shared" ca="1" si="22"/>
        <v>0</v>
      </c>
    </row>
    <row r="261" spans="4:15" ht="15.6" x14ac:dyDescent="0.3">
      <c r="D261">
        <v>69</v>
      </c>
      <c r="E261" s="34">
        <v>43685</v>
      </c>
      <c r="F261" s="35">
        <v>2</v>
      </c>
      <c r="G261" s="35" t="str">
        <f t="shared" si="26"/>
        <v>Лапти дубовые</v>
      </c>
      <c r="H261" s="35">
        <v>9</v>
      </c>
      <c r="I261" s="35">
        <f t="shared" si="27"/>
        <v>240</v>
      </c>
      <c r="J261" s="36">
        <f t="shared" si="28"/>
        <v>2160</v>
      </c>
      <c r="K261">
        <f t="shared" si="21"/>
        <v>1</v>
      </c>
      <c r="O261">
        <f t="shared" ca="1" si="22"/>
        <v>29</v>
      </c>
    </row>
    <row r="262" spans="4:15" ht="15.6" x14ac:dyDescent="0.3">
      <c r="D262">
        <v>55</v>
      </c>
      <c r="E262" s="34">
        <v>43683</v>
      </c>
      <c r="F262" s="35">
        <v>2</v>
      </c>
      <c r="G262" s="35" t="str">
        <f t="shared" si="26"/>
        <v>Лапти дубовые</v>
      </c>
      <c r="H262" s="35">
        <v>9</v>
      </c>
      <c r="I262" s="35">
        <f t="shared" si="27"/>
        <v>240</v>
      </c>
      <c r="J262" s="36">
        <f t="shared" si="28"/>
        <v>2160</v>
      </c>
      <c r="K262">
        <f t="shared" si="21"/>
        <v>1</v>
      </c>
      <c r="O262">
        <f t="shared" ca="1" si="22"/>
        <v>24</v>
      </c>
    </row>
    <row r="263" spans="4:15" ht="15.6" x14ac:dyDescent="0.3">
      <c r="D263">
        <v>44</v>
      </c>
      <c r="E263" s="34">
        <v>43682</v>
      </c>
      <c r="F263" s="35">
        <v>2</v>
      </c>
      <c r="G263" s="35" t="str">
        <f t="shared" si="26"/>
        <v>Лапти дубовые</v>
      </c>
      <c r="H263" s="35">
        <v>5</v>
      </c>
      <c r="I263" s="35">
        <f t="shared" si="27"/>
        <v>240</v>
      </c>
      <c r="J263" s="36">
        <f t="shared" si="28"/>
        <v>1200</v>
      </c>
      <c r="K263">
        <f t="shared" si="21"/>
        <v>1</v>
      </c>
      <c r="O263">
        <f t="shared" ca="1" si="22"/>
        <v>11</v>
      </c>
    </row>
    <row r="264" spans="4:15" ht="15.6" x14ac:dyDescent="0.3">
      <c r="D264">
        <v>35</v>
      </c>
      <c r="E264" s="34">
        <v>43681</v>
      </c>
      <c r="F264" s="35">
        <v>2</v>
      </c>
      <c r="G264" s="35" t="str">
        <f t="shared" si="26"/>
        <v>Лапти дубовые</v>
      </c>
      <c r="H264" s="35">
        <v>3</v>
      </c>
      <c r="I264" s="35">
        <f t="shared" si="27"/>
        <v>240</v>
      </c>
      <c r="J264" s="36">
        <f t="shared" si="28"/>
        <v>720</v>
      </c>
      <c r="K264">
        <f t="shared" si="21"/>
        <v>1</v>
      </c>
      <c r="O264">
        <f t="shared" ca="1" si="22"/>
        <v>25</v>
      </c>
    </row>
    <row r="265" spans="4:15" ht="15.6" x14ac:dyDescent="0.3">
      <c r="D265">
        <v>34</v>
      </c>
      <c r="E265" s="34">
        <v>43681</v>
      </c>
      <c r="F265" s="35">
        <v>2</v>
      </c>
      <c r="G265" s="35" t="str">
        <f t="shared" si="26"/>
        <v>Лапти дубовые</v>
      </c>
      <c r="H265" s="35">
        <v>4</v>
      </c>
      <c r="I265" s="35">
        <f t="shared" si="27"/>
        <v>240</v>
      </c>
      <c r="J265" s="36">
        <f t="shared" si="28"/>
        <v>960</v>
      </c>
      <c r="K265">
        <f t="shared" si="21"/>
        <v>1</v>
      </c>
      <c r="O265">
        <f t="shared" ca="1" si="22"/>
        <v>19</v>
      </c>
    </row>
    <row r="266" spans="4:15" ht="15.6" x14ac:dyDescent="0.3">
      <c r="D266">
        <v>33</v>
      </c>
      <c r="E266" s="34">
        <v>43681</v>
      </c>
      <c r="F266" s="35">
        <v>2</v>
      </c>
      <c r="G266" s="35" t="str">
        <f t="shared" si="26"/>
        <v>Лапти дубовые</v>
      </c>
      <c r="H266" s="35">
        <v>2</v>
      </c>
      <c r="I266" s="35">
        <f t="shared" si="27"/>
        <v>240</v>
      </c>
      <c r="J266" s="36">
        <f t="shared" si="28"/>
        <v>480</v>
      </c>
      <c r="K266">
        <f t="shared" si="21"/>
        <v>1</v>
      </c>
      <c r="O266">
        <f t="shared" ca="1" si="22"/>
        <v>22</v>
      </c>
    </row>
    <row r="267" spans="4:15" ht="15.6" x14ac:dyDescent="0.3">
      <c r="D267">
        <v>20</v>
      </c>
      <c r="E267" s="34">
        <v>43680</v>
      </c>
      <c r="F267" s="35">
        <v>2</v>
      </c>
      <c r="G267" s="35" t="str">
        <f t="shared" si="26"/>
        <v>Лапти дубовые</v>
      </c>
      <c r="H267" s="35">
        <v>9</v>
      </c>
      <c r="I267" s="35">
        <f t="shared" si="27"/>
        <v>240</v>
      </c>
      <c r="J267" s="36">
        <f t="shared" si="28"/>
        <v>2160</v>
      </c>
      <c r="K267">
        <f t="shared" si="21"/>
        <v>1</v>
      </c>
      <c r="O267">
        <f t="shared" ca="1" si="22"/>
        <v>7</v>
      </c>
    </row>
    <row r="268" spans="4:15" ht="15.6" x14ac:dyDescent="0.3">
      <c r="D268">
        <v>19</v>
      </c>
      <c r="E268" s="34">
        <v>43680</v>
      </c>
      <c r="F268" s="35">
        <v>2</v>
      </c>
      <c r="G268" s="35" t="str">
        <f t="shared" si="26"/>
        <v>Лапти дубовые</v>
      </c>
      <c r="H268" s="35">
        <v>9</v>
      </c>
      <c r="I268" s="35">
        <f t="shared" si="27"/>
        <v>240</v>
      </c>
      <c r="J268" s="36">
        <f t="shared" si="28"/>
        <v>2160</v>
      </c>
      <c r="K268">
        <f t="shared" ref="K268:K321" si="29">VLOOKUP(F268,имя,6)</f>
        <v>1</v>
      </c>
      <c r="O268">
        <f t="shared" ca="1" si="22"/>
        <v>27</v>
      </c>
    </row>
    <row r="269" spans="4:15" ht="15.6" x14ac:dyDescent="0.3">
      <c r="D269">
        <v>10</v>
      </c>
      <c r="E269" s="34">
        <v>43679</v>
      </c>
      <c r="F269" s="35">
        <v>2</v>
      </c>
      <c r="G269" s="35" t="str">
        <f t="shared" si="26"/>
        <v>Лапти дубовые</v>
      </c>
      <c r="H269" s="35">
        <v>1</v>
      </c>
      <c r="I269" s="35">
        <f t="shared" si="27"/>
        <v>240</v>
      </c>
      <c r="J269" s="36">
        <f t="shared" si="28"/>
        <v>240</v>
      </c>
      <c r="K269">
        <f t="shared" si="29"/>
        <v>1</v>
      </c>
      <c r="O269">
        <f t="shared" ref="O269:O321" ca="1" si="30">M269+INT(30*RAND())</f>
        <v>12</v>
      </c>
    </row>
    <row r="270" spans="4:15" ht="15.6" x14ac:dyDescent="0.3">
      <c r="D270">
        <v>9</v>
      </c>
      <c r="E270" s="34">
        <v>43679</v>
      </c>
      <c r="F270" s="35">
        <v>2</v>
      </c>
      <c r="G270" s="35" t="str">
        <f t="shared" si="26"/>
        <v>Лапти дубовые</v>
      </c>
      <c r="H270" s="35">
        <v>1</v>
      </c>
      <c r="I270" s="35">
        <f t="shared" si="27"/>
        <v>240</v>
      </c>
      <c r="J270" s="36">
        <f t="shared" si="28"/>
        <v>240</v>
      </c>
      <c r="K270">
        <f t="shared" si="29"/>
        <v>1</v>
      </c>
      <c r="O270">
        <f t="shared" ca="1" si="30"/>
        <v>20</v>
      </c>
    </row>
    <row r="271" spans="4:15" ht="15.6" x14ac:dyDescent="0.3">
      <c r="D271">
        <v>310</v>
      </c>
      <c r="E271" s="34">
        <v>43810</v>
      </c>
      <c r="F271" s="35">
        <v>1</v>
      </c>
      <c r="G271" s="35" t="s">
        <v>23</v>
      </c>
      <c r="H271" s="35">
        <v>2</v>
      </c>
      <c r="I271" s="35">
        <v>110.00000000000001</v>
      </c>
      <c r="J271" s="36">
        <v>220.00000000000003</v>
      </c>
      <c r="K271">
        <f t="shared" si="29"/>
        <v>1</v>
      </c>
      <c r="O271">
        <f t="shared" ca="1" si="30"/>
        <v>25</v>
      </c>
    </row>
    <row r="272" spans="4:15" ht="15.6" x14ac:dyDescent="0.3">
      <c r="D272">
        <v>268</v>
      </c>
      <c r="E272" s="34">
        <v>43705</v>
      </c>
      <c r="F272" s="35">
        <v>1</v>
      </c>
      <c r="G272" s="35" t="str">
        <f t="shared" ref="G272:G303" si="31">VLOOKUP(F272,имя,2)</f>
        <v>Лапти липовые</v>
      </c>
      <c r="H272" s="35">
        <v>9</v>
      </c>
      <c r="I272" s="35">
        <f t="shared" ref="I272:I303" si="32" xml:space="preserve"> VLOOKUP(F272, имя,4) * (1 + VLOOKUP(F272, имя,5))</f>
        <v>110.00000000000001</v>
      </c>
      <c r="J272" s="36">
        <f t="shared" ref="J272:J303" si="33" xml:space="preserve"> H272 * I272</f>
        <v>990.00000000000011</v>
      </c>
      <c r="K272">
        <f t="shared" si="29"/>
        <v>1</v>
      </c>
      <c r="O272">
        <f t="shared" ca="1" si="30"/>
        <v>11</v>
      </c>
    </row>
    <row r="273" spans="4:15" ht="15.6" x14ac:dyDescent="0.3">
      <c r="D273">
        <v>267</v>
      </c>
      <c r="E273" s="34">
        <v>43705</v>
      </c>
      <c r="F273" s="35">
        <v>1</v>
      </c>
      <c r="G273" s="35" t="str">
        <f t="shared" si="31"/>
        <v>Лапти липовые</v>
      </c>
      <c r="H273" s="35">
        <v>3</v>
      </c>
      <c r="I273" s="35">
        <f t="shared" si="32"/>
        <v>110.00000000000001</v>
      </c>
      <c r="J273" s="36">
        <f t="shared" si="33"/>
        <v>330.00000000000006</v>
      </c>
      <c r="K273">
        <f t="shared" si="29"/>
        <v>1</v>
      </c>
      <c r="O273">
        <f t="shared" ca="1" si="30"/>
        <v>12</v>
      </c>
    </row>
    <row r="274" spans="4:15" ht="15.6" x14ac:dyDescent="0.3">
      <c r="D274">
        <v>266</v>
      </c>
      <c r="E274" s="34">
        <v>43705</v>
      </c>
      <c r="F274" s="35">
        <v>1</v>
      </c>
      <c r="G274" s="35" t="str">
        <f t="shared" si="31"/>
        <v>Лапти липовые</v>
      </c>
      <c r="H274" s="35">
        <v>5</v>
      </c>
      <c r="I274" s="35">
        <f t="shared" si="32"/>
        <v>110.00000000000001</v>
      </c>
      <c r="J274" s="36">
        <f t="shared" si="33"/>
        <v>550.00000000000011</v>
      </c>
      <c r="K274">
        <f t="shared" si="29"/>
        <v>1</v>
      </c>
      <c r="O274">
        <f t="shared" ca="1" si="30"/>
        <v>5</v>
      </c>
    </row>
    <row r="275" spans="4:15" ht="15.6" x14ac:dyDescent="0.3">
      <c r="D275">
        <v>257</v>
      </c>
      <c r="E275" s="34">
        <v>43704</v>
      </c>
      <c r="F275" s="35">
        <v>1</v>
      </c>
      <c r="G275" s="35" t="str">
        <f t="shared" si="31"/>
        <v>Лапти липовые</v>
      </c>
      <c r="H275" s="35">
        <v>1</v>
      </c>
      <c r="I275" s="35">
        <f t="shared" si="32"/>
        <v>110.00000000000001</v>
      </c>
      <c r="J275" s="36">
        <f t="shared" si="33"/>
        <v>110.00000000000001</v>
      </c>
      <c r="K275">
        <f t="shared" si="29"/>
        <v>1</v>
      </c>
      <c r="O275">
        <f t="shared" ca="1" si="30"/>
        <v>11</v>
      </c>
    </row>
    <row r="276" spans="4:15" ht="15.6" x14ac:dyDescent="0.3">
      <c r="D276">
        <v>233</v>
      </c>
      <c r="E276" s="34">
        <v>43701</v>
      </c>
      <c r="F276" s="35">
        <v>1</v>
      </c>
      <c r="G276" s="35" t="str">
        <f t="shared" si="31"/>
        <v>Лапти липовые</v>
      </c>
      <c r="H276" s="35">
        <v>5</v>
      </c>
      <c r="I276" s="35">
        <f t="shared" si="32"/>
        <v>110.00000000000001</v>
      </c>
      <c r="J276" s="36">
        <f t="shared" si="33"/>
        <v>550.00000000000011</v>
      </c>
      <c r="K276">
        <f t="shared" si="29"/>
        <v>1</v>
      </c>
      <c r="O276">
        <f t="shared" ca="1" si="30"/>
        <v>28</v>
      </c>
    </row>
    <row r="277" spans="4:15" ht="15.6" x14ac:dyDescent="0.3">
      <c r="D277">
        <v>232</v>
      </c>
      <c r="E277" s="34">
        <v>43701</v>
      </c>
      <c r="F277" s="35">
        <v>1</v>
      </c>
      <c r="G277" s="35" t="str">
        <f t="shared" si="31"/>
        <v>Лапти липовые</v>
      </c>
      <c r="H277" s="35">
        <v>5</v>
      </c>
      <c r="I277" s="35">
        <f t="shared" si="32"/>
        <v>110.00000000000001</v>
      </c>
      <c r="J277" s="36">
        <f t="shared" si="33"/>
        <v>550.00000000000011</v>
      </c>
      <c r="K277">
        <f t="shared" si="29"/>
        <v>1</v>
      </c>
      <c r="O277">
        <f t="shared" ca="1" si="30"/>
        <v>3</v>
      </c>
    </row>
    <row r="278" spans="4:15" ht="15.6" x14ac:dyDescent="0.3">
      <c r="D278">
        <v>231</v>
      </c>
      <c r="E278" s="34">
        <v>43701</v>
      </c>
      <c r="F278" s="35">
        <v>1</v>
      </c>
      <c r="G278" s="35" t="str">
        <f t="shared" si="31"/>
        <v>Лапти липовые</v>
      </c>
      <c r="H278" s="35">
        <v>3</v>
      </c>
      <c r="I278" s="35">
        <f t="shared" si="32"/>
        <v>110.00000000000001</v>
      </c>
      <c r="J278" s="36">
        <f t="shared" si="33"/>
        <v>330.00000000000006</v>
      </c>
      <c r="K278">
        <f t="shared" si="29"/>
        <v>1</v>
      </c>
      <c r="O278">
        <f t="shared" ca="1" si="30"/>
        <v>16</v>
      </c>
    </row>
    <row r="279" spans="4:15" ht="15.6" x14ac:dyDescent="0.3">
      <c r="D279">
        <v>218</v>
      </c>
      <c r="E279" s="34">
        <v>43700</v>
      </c>
      <c r="F279" s="35">
        <v>1</v>
      </c>
      <c r="G279" s="35" t="str">
        <f t="shared" si="31"/>
        <v>Лапти липовые</v>
      </c>
      <c r="H279" s="35">
        <v>8</v>
      </c>
      <c r="I279" s="35">
        <f t="shared" si="32"/>
        <v>110.00000000000001</v>
      </c>
      <c r="J279" s="36">
        <f t="shared" si="33"/>
        <v>880.00000000000011</v>
      </c>
      <c r="K279">
        <f t="shared" si="29"/>
        <v>1</v>
      </c>
      <c r="O279">
        <f t="shared" ca="1" si="30"/>
        <v>3</v>
      </c>
    </row>
    <row r="280" spans="4:15" ht="15.6" x14ac:dyDescent="0.3">
      <c r="D280">
        <v>206</v>
      </c>
      <c r="E280" s="34">
        <v>43699</v>
      </c>
      <c r="F280" s="35">
        <v>1</v>
      </c>
      <c r="G280" s="35" t="str">
        <f t="shared" si="31"/>
        <v>Лапти липовые</v>
      </c>
      <c r="H280" s="35">
        <v>5</v>
      </c>
      <c r="I280" s="35">
        <f t="shared" si="32"/>
        <v>110.00000000000001</v>
      </c>
      <c r="J280" s="36">
        <f t="shared" si="33"/>
        <v>550.00000000000011</v>
      </c>
      <c r="K280">
        <f t="shared" si="29"/>
        <v>1</v>
      </c>
      <c r="O280">
        <f t="shared" ca="1" si="30"/>
        <v>23</v>
      </c>
    </row>
    <row r="281" spans="4:15" ht="15.6" x14ac:dyDescent="0.3">
      <c r="D281">
        <v>200</v>
      </c>
      <c r="E281" s="34">
        <v>43698</v>
      </c>
      <c r="F281" s="35">
        <v>1</v>
      </c>
      <c r="G281" s="35" t="str">
        <f t="shared" si="31"/>
        <v>Лапти липовые</v>
      </c>
      <c r="H281" s="35">
        <v>5</v>
      </c>
      <c r="I281" s="35">
        <f t="shared" si="32"/>
        <v>110.00000000000001</v>
      </c>
      <c r="J281" s="36">
        <f t="shared" si="33"/>
        <v>550.00000000000011</v>
      </c>
      <c r="K281">
        <f t="shared" si="29"/>
        <v>1</v>
      </c>
      <c r="O281">
        <f t="shared" ca="1" si="30"/>
        <v>19</v>
      </c>
    </row>
    <row r="282" spans="4:15" ht="15.6" x14ac:dyDescent="0.3">
      <c r="D282">
        <v>199</v>
      </c>
      <c r="E282" s="34">
        <v>43698</v>
      </c>
      <c r="F282" s="35">
        <v>1</v>
      </c>
      <c r="G282" s="35" t="str">
        <f t="shared" si="31"/>
        <v>Лапти липовые</v>
      </c>
      <c r="H282" s="35">
        <v>8</v>
      </c>
      <c r="I282" s="35">
        <f t="shared" si="32"/>
        <v>110.00000000000001</v>
      </c>
      <c r="J282" s="36">
        <f t="shared" si="33"/>
        <v>880.00000000000011</v>
      </c>
      <c r="K282">
        <f t="shared" si="29"/>
        <v>1</v>
      </c>
      <c r="O282">
        <f t="shared" ca="1" si="30"/>
        <v>13</v>
      </c>
    </row>
    <row r="283" spans="4:15" ht="15.6" x14ac:dyDescent="0.3">
      <c r="D283">
        <v>189</v>
      </c>
      <c r="E283" s="34">
        <v>43697</v>
      </c>
      <c r="F283" s="35">
        <v>1</v>
      </c>
      <c r="G283" s="35" t="str">
        <f t="shared" si="31"/>
        <v>Лапти липовые</v>
      </c>
      <c r="H283" s="35">
        <v>3</v>
      </c>
      <c r="I283" s="35">
        <f t="shared" si="32"/>
        <v>110.00000000000001</v>
      </c>
      <c r="J283" s="36">
        <f t="shared" si="33"/>
        <v>330.00000000000006</v>
      </c>
      <c r="K283">
        <f t="shared" si="29"/>
        <v>1</v>
      </c>
      <c r="O283">
        <f t="shared" ca="1" si="30"/>
        <v>8</v>
      </c>
    </row>
    <row r="284" spans="4:15" ht="15.6" x14ac:dyDescent="0.3">
      <c r="D284">
        <v>182</v>
      </c>
      <c r="E284" s="34">
        <v>43696</v>
      </c>
      <c r="F284" s="35">
        <v>1</v>
      </c>
      <c r="G284" s="35" t="str">
        <f t="shared" si="31"/>
        <v>Лапти липовые</v>
      </c>
      <c r="H284" s="35">
        <v>7</v>
      </c>
      <c r="I284" s="35">
        <f t="shared" si="32"/>
        <v>110.00000000000001</v>
      </c>
      <c r="J284" s="36">
        <f t="shared" si="33"/>
        <v>770.00000000000011</v>
      </c>
      <c r="K284">
        <f t="shared" si="29"/>
        <v>1</v>
      </c>
      <c r="O284">
        <f t="shared" ca="1" si="30"/>
        <v>8</v>
      </c>
    </row>
    <row r="285" spans="4:15" ht="15.6" x14ac:dyDescent="0.3">
      <c r="D285">
        <v>181</v>
      </c>
      <c r="E285" s="34">
        <v>43696</v>
      </c>
      <c r="F285" s="35">
        <v>1</v>
      </c>
      <c r="G285" s="35" t="str">
        <f t="shared" si="31"/>
        <v>Лапти липовые</v>
      </c>
      <c r="H285" s="35">
        <v>6</v>
      </c>
      <c r="I285" s="35">
        <f t="shared" si="32"/>
        <v>110.00000000000001</v>
      </c>
      <c r="J285" s="36">
        <f t="shared" si="33"/>
        <v>660.00000000000011</v>
      </c>
      <c r="K285">
        <f t="shared" si="29"/>
        <v>1</v>
      </c>
      <c r="O285">
        <f t="shared" ca="1" si="30"/>
        <v>6</v>
      </c>
    </row>
    <row r="286" spans="4:15" ht="15.6" x14ac:dyDescent="0.3">
      <c r="D286">
        <v>180</v>
      </c>
      <c r="E286" s="34">
        <v>43696</v>
      </c>
      <c r="F286" s="35">
        <v>1</v>
      </c>
      <c r="G286" s="35" t="str">
        <f t="shared" si="31"/>
        <v>Лапти липовые</v>
      </c>
      <c r="H286" s="35">
        <v>7</v>
      </c>
      <c r="I286" s="35">
        <f t="shared" si="32"/>
        <v>110.00000000000001</v>
      </c>
      <c r="J286" s="36">
        <f t="shared" si="33"/>
        <v>770.00000000000011</v>
      </c>
      <c r="K286">
        <f t="shared" si="29"/>
        <v>1</v>
      </c>
      <c r="O286">
        <f t="shared" ca="1" si="30"/>
        <v>0</v>
      </c>
    </row>
    <row r="287" spans="4:15" ht="15.6" x14ac:dyDescent="0.3">
      <c r="D287">
        <v>179</v>
      </c>
      <c r="E287" s="34">
        <v>43696</v>
      </c>
      <c r="F287" s="35">
        <v>1</v>
      </c>
      <c r="G287" s="35" t="str">
        <f t="shared" si="31"/>
        <v>Лапти липовые</v>
      </c>
      <c r="H287" s="35">
        <v>8</v>
      </c>
      <c r="I287" s="35">
        <f t="shared" si="32"/>
        <v>110.00000000000001</v>
      </c>
      <c r="J287" s="36">
        <f t="shared" si="33"/>
        <v>880.00000000000011</v>
      </c>
      <c r="K287">
        <f t="shared" si="29"/>
        <v>1</v>
      </c>
      <c r="O287">
        <f t="shared" ca="1" si="30"/>
        <v>10</v>
      </c>
    </row>
    <row r="288" spans="4:15" ht="15.6" x14ac:dyDescent="0.3">
      <c r="D288">
        <v>178</v>
      </c>
      <c r="E288" s="34">
        <v>43696</v>
      </c>
      <c r="F288" s="35">
        <v>1</v>
      </c>
      <c r="G288" s="35" t="str">
        <f t="shared" si="31"/>
        <v>Лапти липовые</v>
      </c>
      <c r="H288" s="35">
        <v>7</v>
      </c>
      <c r="I288" s="35">
        <f t="shared" si="32"/>
        <v>110.00000000000001</v>
      </c>
      <c r="J288" s="36">
        <f t="shared" si="33"/>
        <v>770.00000000000011</v>
      </c>
      <c r="K288">
        <f t="shared" si="29"/>
        <v>1</v>
      </c>
      <c r="O288">
        <f t="shared" ca="1" si="30"/>
        <v>9</v>
      </c>
    </row>
    <row r="289" spans="4:15" ht="15.6" x14ac:dyDescent="0.3">
      <c r="D289">
        <v>177</v>
      </c>
      <c r="E289" s="34">
        <v>43696</v>
      </c>
      <c r="F289" s="35">
        <v>1</v>
      </c>
      <c r="G289" s="35" t="str">
        <f t="shared" si="31"/>
        <v>Лапти липовые</v>
      </c>
      <c r="H289" s="35">
        <v>3</v>
      </c>
      <c r="I289" s="35">
        <f t="shared" si="32"/>
        <v>110.00000000000001</v>
      </c>
      <c r="J289" s="36">
        <f t="shared" si="33"/>
        <v>330.00000000000006</v>
      </c>
      <c r="K289">
        <f t="shared" si="29"/>
        <v>1</v>
      </c>
      <c r="O289">
        <f t="shared" ca="1" si="30"/>
        <v>7</v>
      </c>
    </row>
    <row r="290" spans="4:15" ht="15.6" x14ac:dyDescent="0.3">
      <c r="D290">
        <v>176</v>
      </c>
      <c r="E290" s="34">
        <v>43696</v>
      </c>
      <c r="F290" s="35">
        <v>1</v>
      </c>
      <c r="G290" s="35" t="str">
        <f t="shared" si="31"/>
        <v>Лапти липовые</v>
      </c>
      <c r="H290" s="35">
        <v>4</v>
      </c>
      <c r="I290" s="35">
        <f t="shared" si="32"/>
        <v>110.00000000000001</v>
      </c>
      <c r="J290" s="36">
        <f t="shared" si="33"/>
        <v>440.00000000000006</v>
      </c>
      <c r="K290">
        <f t="shared" si="29"/>
        <v>1</v>
      </c>
      <c r="O290">
        <f t="shared" ca="1" si="30"/>
        <v>16</v>
      </c>
    </row>
    <row r="291" spans="4:15" ht="15.6" x14ac:dyDescent="0.3">
      <c r="D291">
        <v>175</v>
      </c>
      <c r="E291" s="34">
        <v>43696</v>
      </c>
      <c r="F291" s="35">
        <v>1</v>
      </c>
      <c r="G291" s="35" t="str">
        <f t="shared" si="31"/>
        <v>Лапти липовые</v>
      </c>
      <c r="H291" s="35">
        <v>1</v>
      </c>
      <c r="I291" s="35">
        <f t="shared" si="32"/>
        <v>110.00000000000001</v>
      </c>
      <c r="J291" s="36">
        <f t="shared" si="33"/>
        <v>110.00000000000001</v>
      </c>
      <c r="K291">
        <f t="shared" si="29"/>
        <v>1</v>
      </c>
      <c r="O291">
        <f t="shared" ca="1" si="30"/>
        <v>10</v>
      </c>
    </row>
    <row r="292" spans="4:15" ht="15.6" x14ac:dyDescent="0.3">
      <c r="D292">
        <v>174</v>
      </c>
      <c r="E292" s="34">
        <v>43696</v>
      </c>
      <c r="F292" s="35">
        <v>1</v>
      </c>
      <c r="G292" s="35" t="str">
        <f t="shared" si="31"/>
        <v>Лапти липовые</v>
      </c>
      <c r="H292" s="35">
        <v>2</v>
      </c>
      <c r="I292" s="35">
        <f t="shared" si="32"/>
        <v>110.00000000000001</v>
      </c>
      <c r="J292" s="36">
        <f t="shared" si="33"/>
        <v>220.00000000000003</v>
      </c>
      <c r="K292">
        <f t="shared" si="29"/>
        <v>1</v>
      </c>
      <c r="O292">
        <f t="shared" ca="1" si="30"/>
        <v>4</v>
      </c>
    </row>
    <row r="293" spans="4:15" ht="15.6" x14ac:dyDescent="0.3">
      <c r="D293">
        <v>157</v>
      </c>
      <c r="E293" s="34">
        <v>43695</v>
      </c>
      <c r="F293" s="35">
        <v>1</v>
      </c>
      <c r="G293" s="35" t="str">
        <f t="shared" si="31"/>
        <v>Лапти липовые</v>
      </c>
      <c r="H293" s="35">
        <v>7</v>
      </c>
      <c r="I293" s="35">
        <f t="shared" si="32"/>
        <v>110.00000000000001</v>
      </c>
      <c r="J293" s="36">
        <f t="shared" si="33"/>
        <v>770.00000000000011</v>
      </c>
      <c r="K293">
        <f t="shared" si="29"/>
        <v>1</v>
      </c>
      <c r="O293">
        <f t="shared" ca="1" si="30"/>
        <v>16</v>
      </c>
    </row>
    <row r="294" spans="4:15" ht="15.6" x14ac:dyDescent="0.3">
      <c r="D294">
        <v>156</v>
      </c>
      <c r="E294" s="34">
        <v>43695</v>
      </c>
      <c r="F294" s="35">
        <v>1</v>
      </c>
      <c r="G294" s="35" t="str">
        <f t="shared" si="31"/>
        <v>Лапти липовые</v>
      </c>
      <c r="H294" s="35">
        <v>4</v>
      </c>
      <c r="I294" s="35">
        <f t="shared" si="32"/>
        <v>110.00000000000001</v>
      </c>
      <c r="J294" s="36">
        <f t="shared" si="33"/>
        <v>440.00000000000006</v>
      </c>
      <c r="K294">
        <f t="shared" si="29"/>
        <v>1</v>
      </c>
      <c r="O294">
        <f t="shared" ca="1" si="30"/>
        <v>24</v>
      </c>
    </row>
    <row r="295" spans="4:15" ht="15.6" x14ac:dyDescent="0.3">
      <c r="D295">
        <v>147</v>
      </c>
      <c r="E295" s="34">
        <v>43694</v>
      </c>
      <c r="F295" s="35">
        <v>1</v>
      </c>
      <c r="G295" s="35" t="str">
        <f t="shared" si="31"/>
        <v>Лапти липовые</v>
      </c>
      <c r="H295" s="35">
        <v>6</v>
      </c>
      <c r="I295" s="35">
        <f t="shared" si="32"/>
        <v>110.00000000000001</v>
      </c>
      <c r="J295" s="36">
        <f t="shared" si="33"/>
        <v>660.00000000000011</v>
      </c>
      <c r="K295">
        <f t="shared" si="29"/>
        <v>1</v>
      </c>
      <c r="O295">
        <f t="shared" ca="1" si="30"/>
        <v>19</v>
      </c>
    </row>
    <row r="296" spans="4:15" ht="15.6" x14ac:dyDescent="0.3">
      <c r="D296">
        <v>138</v>
      </c>
      <c r="E296" s="34">
        <v>43693</v>
      </c>
      <c r="F296" s="35">
        <v>1</v>
      </c>
      <c r="G296" s="35" t="str">
        <f t="shared" si="31"/>
        <v>Лапти липовые</v>
      </c>
      <c r="H296" s="35">
        <v>5</v>
      </c>
      <c r="I296" s="35">
        <f t="shared" si="32"/>
        <v>110.00000000000001</v>
      </c>
      <c r="J296" s="36">
        <f t="shared" si="33"/>
        <v>550.00000000000011</v>
      </c>
      <c r="K296">
        <f t="shared" si="29"/>
        <v>1</v>
      </c>
      <c r="O296">
        <f t="shared" ca="1" si="30"/>
        <v>0</v>
      </c>
    </row>
    <row r="297" spans="4:15" ht="15.6" x14ac:dyDescent="0.3">
      <c r="D297">
        <v>125</v>
      </c>
      <c r="E297" s="34">
        <v>43692</v>
      </c>
      <c r="F297" s="35">
        <v>1</v>
      </c>
      <c r="G297" s="35" t="str">
        <f t="shared" si="31"/>
        <v>Лапти липовые</v>
      </c>
      <c r="H297" s="35">
        <v>8</v>
      </c>
      <c r="I297" s="35">
        <f t="shared" si="32"/>
        <v>110.00000000000001</v>
      </c>
      <c r="J297" s="36">
        <f t="shared" si="33"/>
        <v>880.00000000000011</v>
      </c>
      <c r="K297">
        <f t="shared" si="29"/>
        <v>1</v>
      </c>
      <c r="O297">
        <f t="shared" ca="1" si="30"/>
        <v>29</v>
      </c>
    </row>
    <row r="298" spans="4:15" ht="15.6" x14ac:dyDescent="0.3">
      <c r="D298">
        <v>124</v>
      </c>
      <c r="E298" s="34">
        <v>43692</v>
      </c>
      <c r="F298" s="35">
        <v>1</v>
      </c>
      <c r="G298" s="35" t="str">
        <f t="shared" si="31"/>
        <v>Лапти липовые</v>
      </c>
      <c r="H298" s="35">
        <v>1</v>
      </c>
      <c r="I298" s="35">
        <f t="shared" si="32"/>
        <v>110.00000000000001</v>
      </c>
      <c r="J298" s="36">
        <f t="shared" si="33"/>
        <v>110.00000000000001</v>
      </c>
      <c r="K298">
        <f t="shared" si="29"/>
        <v>1</v>
      </c>
      <c r="O298">
        <f t="shared" ca="1" si="30"/>
        <v>25</v>
      </c>
    </row>
    <row r="299" spans="4:15" ht="15.6" x14ac:dyDescent="0.3">
      <c r="D299">
        <v>123</v>
      </c>
      <c r="E299" s="34">
        <v>43692</v>
      </c>
      <c r="F299" s="35">
        <v>1</v>
      </c>
      <c r="G299" s="35" t="str">
        <f t="shared" si="31"/>
        <v>Лапти липовые</v>
      </c>
      <c r="H299" s="35">
        <v>8</v>
      </c>
      <c r="I299" s="35">
        <f t="shared" si="32"/>
        <v>110.00000000000001</v>
      </c>
      <c r="J299" s="36">
        <f t="shared" si="33"/>
        <v>880.00000000000011</v>
      </c>
      <c r="K299">
        <f t="shared" si="29"/>
        <v>1</v>
      </c>
      <c r="O299">
        <f t="shared" ca="1" si="30"/>
        <v>2</v>
      </c>
    </row>
    <row r="300" spans="4:15" ht="15.6" x14ac:dyDescent="0.3">
      <c r="D300">
        <v>122</v>
      </c>
      <c r="E300" s="34">
        <v>43692</v>
      </c>
      <c r="F300" s="35">
        <v>1</v>
      </c>
      <c r="G300" s="35" t="str">
        <f t="shared" si="31"/>
        <v>Лапти липовые</v>
      </c>
      <c r="H300" s="35">
        <v>4</v>
      </c>
      <c r="I300" s="35">
        <f t="shared" si="32"/>
        <v>110.00000000000001</v>
      </c>
      <c r="J300" s="36">
        <f t="shared" si="33"/>
        <v>440.00000000000006</v>
      </c>
      <c r="K300">
        <f t="shared" si="29"/>
        <v>1</v>
      </c>
      <c r="O300">
        <f t="shared" ca="1" si="30"/>
        <v>3</v>
      </c>
    </row>
    <row r="301" spans="4:15" ht="15.6" x14ac:dyDescent="0.3">
      <c r="D301">
        <v>121</v>
      </c>
      <c r="E301" s="34">
        <v>43692</v>
      </c>
      <c r="F301" s="35">
        <v>1</v>
      </c>
      <c r="G301" s="35" t="str">
        <f t="shared" si="31"/>
        <v>Лапти липовые</v>
      </c>
      <c r="H301" s="35">
        <v>7</v>
      </c>
      <c r="I301" s="35">
        <f t="shared" si="32"/>
        <v>110.00000000000001</v>
      </c>
      <c r="J301" s="36">
        <f t="shared" si="33"/>
        <v>770.00000000000011</v>
      </c>
      <c r="K301">
        <f t="shared" si="29"/>
        <v>1</v>
      </c>
      <c r="O301">
        <f t="shared" ca="1" si="30"/>
        <v>28</v>
      </c>
    </row>
    <row r="302" spans="4:15" ht="15.6" x14ac:dyDescent="0.3">
      <c r="D302">
        <v>106</v>
      </c>
      <c r="E302" s="34">
        <v>43690</v>
      </c>
      <c r="F302" s="35">
        <v>1</v>
      </c>
      <c r="G302" s="35" t="str">
        <f t="shared" si="31"/>
        <v>Лапти липовые</v>
      </c>
      <c r="H302" s="35">
        <v>7</v>
      </c>
      <c r="I302" s="35">
        <f t="shared" si="32"/>
        <v>110.00000000000001</v>
      </c>
      <c r="J302" s="36">
        <f t="shared" si="33"/>
        <v>770.00000000000011</v>
      </c>
      <c r="K302">
        <f t="shared" si="29"/>
        <v>1</v>
      </c>
      <c r="O302">
        <f t="shared" ca="1" si="30"/>
        <v>9</v>
      </c>
    </row>
    <row r="303" spans="4:15" ht="15.6" x14ac:dyDescent="0.3">
      <c r="D303">
        <v>105</v>
      </c>
      <c r="E303" s="34">
        <v>43690</v>
      </c>
      <c r="F303" s="35">
        <v>1</v>
      </c>
      <c r="G303" s="35" t="str">
        <f t="shared" si="31"/>
        <v>Лапти липовые</v>
      </c>
      <c r="H303" s="35">
        <v>8</v>
      </c>
      <c r="I303" s="35">
        <f t="shared" si="32"/>
        <v>110.00000000000001</v>
      </c>
      <c r="J303" s="36">
        <f t="shared" si="33"/>
        <v>880.00000000000011</v>
      </c>
      <c r="K303">
        <f t="shared" si="29"/>
        <v>1</v>
      </c>
      <c r="O303">
        <f t="shared" ca="1" si="30"/>
        <v>1</v>
      </c>
    </row>
    <row r="304" spans="4:15" ht="15.6" x14ac:dyDescent="0.3">
      <c r="D304">
        <v>104</v>
      </c>
      <c r="E304" s="34">
        <v>43690</v>
      </c>
      <c r="F304" s="35">
        <v>1</v>
      </c>
      <c r="G304" s="35" t="str">
        <f t="shared" ref="G304:G335" si="34">VLOOKUP(F304,имя,2)</f>
        <v>Лапти липовые</v>
      </c>
      <c r="H304" s="35">
        <v>9</v>
      </c>
      <c r="I304" s="35">
        <f t="shared" ref="I304:I321" si="35" xml:space="preserve"> VLOOKUP(F304, имя,4) * (1 + VLOOKUP(F304, имя,5))</f>
        <v>110.00000000000001</v>
      </c>
      <c r="J304" s="36">
        <f t="shared" ref="J304:J335" si="36" xml:space="preserve"> H304 * I304</f>
        <v>990.00000000000011</v>
      </c>
      <c r="K304">
        <f t="shared" si="29"/>
        <v>1</v>
      </c>
      <c r="O304">
        <f t="shared" ca="1" si="30"/>
        <v>1</v>
      </c>
    </row>
    <row r="305" spans="4:15" ht="15.6" x14ac:dyDescent="0.3">
      <c r="D305">
        <v>96</v>
      </c>
      <c r="E305" s="34">
        <v>43689</v>
      </c>
      <c r="F305" s="35">
        <v>1</v>
      </c>
      <c r="G305" s="35" t="str">
        <f t="shared" si="34"/>
        <v>Лапти липовые</v>
      </c>
      <c r="H305" s="35">
        <v>7</v>
      </c>
      <c r="I305" s="35">
        <f t="shared" si="35"/>
        <v>110.00000000000001</v>
      </c>
      <c r="J305" s="36">
        <f t="shared" si="36"/>
        <v>770.00000000000011</v>
      </c>
      <c r="K305">
        <f t="shared" si="29"/>
        <v>1</v>
      </c>
      <c r="O305">
        <f t="shared" ca="1" si="30"/>
        <v>13</v>
      </c>
    </row>
    <row r="306" spans="4:15" ht="15.6" x14ac:dyDescent="0.3">
      <c r="D306">
        <v>87</v>
      </c>
      <c r="E306" s="34">
        <v>43688</v>
      </c>
      <c r="F306" s="35">
        <v>1</v>
      </c>
      <c r="G306" s="35" t="str">
        <f t="shared" si="34"/>
        <v>Лапти липовые</v>
      </c>
      <c r="H306" s="35">
        <v>5</v>
      </c>
      <c r="I306" s="35">
        <f t="shared" si="35"/>
        <v>110.00000000000001</v>
      </c>
      <c r="J306" s="36">
        <f t="shared" si="36"/>
        <v>550.00000000000011</v>
      </c>
      <c r="K306">
        <f t="shared" si="29"/>
        <v>1</v>
      </c>
      <c r="O306">
        <f t="shared" ca="1" si="30"/>
        <v>10</v>
      </c>
    </row>
    <row r="307" spans="4:15" ht="15.6" x14ac:dyDescent="0.3">
      <c r="D307">
        <v>82</v>
      </c>
      <c r="E307" s="34">
        <v>43687</v>
      </c>
      <c r="F307" s="35">
        <v>1</v>
      </c>
      <c r="G307" s="35" t="str">
        <f t="shared" si="34"/>
        <v>Лапти липовые</v>
      </c>
      <c r="H307" s="35">
        <v>2</v>
      </c>
      <c r="I307" s="35">
        <f t="shared" si="35"/>
        <v>110.00000000000001</v>
      </c>
      <c r="J307" s="36">
        <f t="shared" si="36"/>
        <v>220.00000000000003</v>
      </c>
      <c r="K307">
        <f t="shared" si="29"/>
        <v>1</v>
      </c>
      <c r="O307">
        <f t="shared" ca="1" si="30"/>
        <v>0</v>
      </c>
    </row>
    <row r="308" spans="4:15" ht="15.6" x14ac:dyDescent="0.3">
      <c r="D308">
        <v>81</v>
      </c>
      <c r="E308" s="34">
        <v>43687</v>
      </c>
      <c r="F308" s="35">
        <v>1</v>
      </c>
      <c r="G308" s="35" t="str">
        <f t="shared" si="34"/>
        <v>Лапти липовые</v>
      </c>
      <c r="H308" s="35">
        <v>6</v>
      </c>
      <c r="I308" s="35">
        <f t="shared" si="35"/>
        <v>110.00000000000001</v>
      </c>
      <c r="J308" s="36">
        <f t="shared" si="36"/>
        <v>660.00000000000011</v>
      </c>
      <c r="K308">
        <f t="shared" si="29"/>
        <v>1</v>
      </c>
      <c r="O308">
        <f t="shared" ca="1" si="30"/>
        <v>17</v>
      </c>
    </row>
    <row r="309" spans="4:15" ht="15.6" x14ac:dyDescent="0.3">
      <c r="D309">
        <v>75</v>
      </c>
      <c r="E309" s="34">
        <v>43686</v>
      </c>
      <c r="F309" s="35">
        <v>1</v>
      </c>
      <c r="G309" s="35" t="str">
        <f t="shared" si="34"/>
        <v>Лапти липовые</v>
      </c>
      <c r="H309" s="35">
        <v>3</v>
      </c>
      <c r="I309" s="35">
        <f t="shared" si="35"/>
        <v>110.00000000000001</v>
      </c>
      <c r="J309" s="36">
        <f t="shared" si="36"/>
        <v>330.00000000000006</v>
      </c>
      <c r="K309">
        <f t="shared" si="29"/>
        <v>1</v>
      </c>
      <c r="O309">
        <f t="shared" ca="1" si="30"/>
        <v>24</v>
      </c>
    </row>
    <row r="310" spans="4:15" ht="15.6" x14ac:dyDescent="0.3">
      <c r="D310">
        <v>68</v>
      </c>
      <c r="E310" s="34">
        <v>43685</v>
      </c>
      <c r="F310" s="35">
        <v>1</v>
      </c>
      <c r="G310" s="35" t="str">
        <f t="shared" si="34"/>
        <v>Лапти липовые</v>
      </c>
      <c r="H310" s="35">
        <v>3</v>
      </c>
      <c r="I310" s="35">
        <f t="shared" si="35"/>
        <v>110.00000000000001</v>
      </c>
      <c r="J310" s="36">
        <f t="shared" si="36"/>
        <v>330.00000000000006</v>
      </c>
      <c r="K310">
        <f t="shared" si="29"/>
        <v>1</v>
      </c>
      <c r="O310">
        <f t="shared" ca="1" si="30"/>
        <v>14</v>
      </c>
    </row>
    <row r="311" spans="4:15" ht="15.6" x14ac:dyDescent="0.3">
      <c r="D311">
        <v>67</v>
      </c>
      <c r="E311" s="34">
        <v>43685</v>
      </c>
      <c r="F311" s="35">
        <v>1</v>
      </c>
      <c r="G311" s="35" t="str">
        <f t="shared" si="34"/>
        <v>Лапти липовые</v>
      </c>
      <c r="H311" s="35">
        <v>8</v>
      </c>
      <c r="I311" s="35">
        <f t="shared" si="35"/>
        <v>110.00000000000001</v>
      </c>
      <c r="J311" s="36">
        <f t="shared" si="36"/>
        <v>880.00000000000011</v>
      </c>
      <c r="K311">
        <f t="shared" si="29"/>
        <v>1</v>
      </c>
      <c r="O311">
        <f t="shared" ca="1" si="30"/>
        <v>21</v>
      </c>
    </row>
    <row r="312" spans="4:15" ht="15.6" x14ac:dyDescent="0.3">
      <c r="D312">
        <v>66</v>
      </c>
      <c r="E312" s="34">
        <v>43685</v>
      </c>
      <c r="F312" s="35">
        <v>1</v>
      </c>
      <c r="G312" s="35" t="str">
        <f t="shared" si="34"/>
        <v>Лапти липовые</v>
      </c>
      <c r="H312" s="35">
        <v>9</v>
      </c>
      <c r="I312" s="35">
        <f t="shared" si="35"/>
        <v>110.00000000000001</v>
      </c>
      <c r="J312" s="36">
        <f t="shared" si="36"/>
        <v>990.00000000000011</v>
      </c>
      <c r="K312">
        <f t="shared" si="29"/>
        <v>1</v>
      </c>
      <c r="O312">
        <f t="shared" ca="1" si="30"/>
        <v>25</v>
      </c>
    </row>
    <row r="313" spans="4:15" ht="15.6" x14ac:dyDescent="0.3">
      <c r="D313">
        <v>61</v>
      </c>
      <c r="E313" s="34">
        <v>43684</v>
      </c>
      <c r="F313" s="35">
        <v>1</v>
      </c>
      <c r="G313" s="35" t="str">
        <f t="shared" si="34"/>
        <v>Лапти липовые</v>
      </c>
      <c r="H313" s="35">
        <v>3</v>
      </c>
      <c r="I313" s="35">
        <f t="shared" si="35"/>
        <v>110.00000000000001</v>
      </c>
      <c r="J313" s="36">
        <f t="shared" si="36"/>
        <v>330.00000000000006</v>
      </c>
      <c r="K313">
        <f t="shared" si="29"/>
        <v>1</v>
      </c>
      <c r="O313">
        <f t="shared" ca="1" si="30"/>
        <v>17</v>
      </c>
    </row>
    <row r="314" spans="4:15" ht="15.6" x14ac:dyDescent="0.3">
      <c r="D314">
        <v>54</v>
      </c>
      <c r="E314" s="34">
        <v>43683</v>
      </c>
      <c r="F314" s="35">
        <v>1</v>
      </c>
      <c r="G314" s="35" t="str">
        <f t="shared" si="34"/>
        <v>Лапти липовые</v>
      </c>
      <c r="H314" s="35">
        <v>3</v>
      </c>
      <c r="I314" s="35">
        <f t="shared" si="35"/>
        <v>110.00000000000001</v>
      </c>
      <c r="J314" s="36">
        <f t="shared" si="36"/>
        <v>330.00000000000006</v>
      </c>
      <c r="K314">
        <f t="shared" si="29"/>
        <v>1</v>
      </c>
      <c r="O314">
        <f t="shared" ca="1" si="30"/>
        <v>15</v>
      </c>
    </row>
    <row r="315" spans="4:15" ht="15.6" x14ac:dyDescent="0.3">
      <c r="D315">
        <v>53</v>
      </c>
      <c r="E315" s="34">
        <v>43683</v>
      </c>
      <c r="F315" s="35">
        <v>1</v>
      </c>
      <c r="G315" s="35" t="str">
        <f t="shared" si="34"/>
        <v>Лапти липовые</v>
      </c>
      <c r="H315" s="35">
        <v>8</v>
      </c>
      <c r="I315" s="35">
        <f t="shared" si="35"/>
        <v>110.00000000000001</v>
      </c>
      <c r="J315" s="36">
        <f t="shared" si="36"/>
        <v>880.00000000000011</v>
      </c>
      <c r="K315">
        <f t="shared" si="29"/>
        <v>1</v>
      </c>
      <c r="O315">
        <f t="shared" ca="1" si="30"/>
        <v>19</v>
      </c>
    </row>
    <row r="316" spans="4:15" ht="15.6" x14ac:dyDescent="0.3">
      <c r="D316">
        <v>52</v>
      </c>
      <c r="E316" s="34">
        <v>43683</v>
      </c>
      <c r="F316" s="35">
        <v>1</v>
      </c>
      <c r="G316" s="35" t="str">
        <f t="shared" si="34"/>
        <v>Лапти липовые</v>
      </c>
      <c r="H316" s="35">
        <v>8</v>
      </c>
      <c r="I316" s="35">
        <f t="shared" si="35"/>
        <v>110.00000000000001</v>
      </c>
      <c r="J316" s="36">
        <f t="shared" si="36"/>
        <v>880.00000000000011</v>
      </c>
      <c r="K316">
        <f t="shared" si="29"/>
        <v>1</v>
      </c>
      <c r="O316">
        <f t="shared" ca="1" si="30"/>
        <v>22</v>
      </c>
    </row>
    <row r="317" spans="4:15" ht="15.6" x14ac:dyDescent="0.3">
      <c r="D317">
        <v>30</v>
      </c>
      <c r="E317" s="34">
        <v>43681</v>
      </c>
      <c r="F317" s="35">
        <v>1</v>
      </c>
      <c r="G317" s="35" t="str">
        <f t="shared" si="34"/>
        <v>Лапти липовые</v>
      </c>
      <c r="H317" s="35">
        <v>7</v>
      </c>
      <c r="I317" s="35">
        <f t="shared" si="35"/>
        <v>110.00000000000001</v>
      </c>
      <c r="J317" s="36">
        <f t="shared" si="36"/>
        <v>770.00000000000011</v>
      </c>
      <c r="K317">
        <f t="shared" si="29"/>
        <v>1</v>
      </c>
      <c r="O317">
        <f t="shared" ca="1" si="30"/>
        <v>1</v>
      </c>
    </row>
    <row r="318" spans="4:15" ht="15.6" x14ac:dyDescent="0.3">
      <c r="D318">
        <v>29</v>
      </c>
      <c r="E318" s="34">
        <v>43681</v>
      </c>
      <c r="F318" s="35">
        <v>1</v>
      </c>
      <c r="G318" s="35" t="str">
        <f t="shared" si="34"/>
        <v>Лапти липовые</v>
      </c>
      <c r="H318" s="35">
        <v>7</v>
      </c>
      <c r="I318" s="35">
        <f t="shared" si="35"/>
        <v>110.00000000000001</v>
      </c>
      <c r="J318" s="36">
        <f t="shared" si="36"/>
        <v>770.00000000000011</v>
      </c>
      <c r="K318">
        <f t="shared" si="29"/>
        <v>1</v>
      </c>
      <c r="O318">
        <f t="shared" ca="1" si="30"/>
        <v>22</v>
      </c>
    </row>
    <row r="319" spans="4:15" ht="15.6" x14ac:dyDescent="0.3">
      <c r="D319">
        <v>28</v>
      </c>
      <c r="E319" s="34">
        <v>43681</v>
      </c>
      <c r="F319" s="35">
        <v>1</v>
      </c>
      <c r="G319" s="35" t="str">
        <f t="shared" si="34"/>
        <v>Лапти липовые</v>
      </c>
      <c r="H319" s="35">
        <v>7</v>
      </c>
      <c r="I319" s="35">
        <f t="shared" si="35"/>
        <v>110.00000000000001</v>
      </c>
      <c r="J319" s="36">
        <f t="shared" si="36"/>
        <v>770.00000000000011</v>
      </c>
      <c r="K319">
        <f t="shared" si="29"/>
        <v>1</v>
      </c>
      <c r="O319">
        <f t="shared" ca="1" si="30"/>
        <v>8</v>
      </c>
    </row>
    <row r="320" spans="4:15" ht="15.6" x14ac:dyDescent="0.3">
      <c r="D320">
        <v>27</v>
      </c>
      <c r="E320" s="34">
        <v>43681</v>
      </c>
      <c r="F320" s="35">
        <v>1</v>
      </c>
      <c r="G320" s="35" t="str">
        <f t="shared" si="34"/>
        <v>Лапти липовые</v>
      </c>
      <c r="H320" s="35">
        <v>1</v>
      </c>
      <c r="I320" s="35">
        <f t="shared" si="35"/>
        <v>110.00000000000001</v>
      </c>
      <c r="J320" s="36">
        <f t="shared" si="36"/>
        <v>110.00000000000001</v>
      </c>
      <c r="K320">
        <f t="shared" si="29"/>
        <v>1</v>
      </c>
      <c r="O320">
        <f t="shared" ca="1" si="30"/>
        <v>23</v>
      </c>
    </row>
    <row r="321" spans="4:15" ht="15.6" x14ac:dyDescent="0.3">
      <c r="D321">
        <v>16</v>
      </c>
      <c r="E321" s="34">
        <v>43680</v>
      </c>
      <c r="F321" s="35">
        <v>1</v>
      </c>
      <c r="G321" s="35" t="str">
        <f t="shared" si="34"/>
        <v>Лапти липовые</v>
      </c>
      <c r="H321" s="35">
        <v>4</v>
      </c>
      <c r="I321" s="35">
        <f t="shared" si="35"/>
        <v>110.00000000000001</v>
      </c>
      <c r="J321" s="36">
        <f t="shared" si="36"/>
        <v>440.00000000000006</v>
      </c>
      <c r="K321">
        <f t="shared" si="29"/>
        <v>1</v>
      </c>
      <c r="O321">
        <f t="shared" ca="1" si="30"/>
        <v>19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autoLine="0" r:id="rId4">
            <anchor moveWithCells="1">
              <from>
                <xdr:col>0</xdr:col>
                <xdr:colOff>289560</xdr:colOff>
                <xdr:row>1</xdr:row>
                <xdr:rowOff>7620</xdr:rowOff>
              </from>
              <to>
                <xdr:col>1</xdr:col>
                <xdr:colOff>594360</xdr:colOff>
                <xdr:row>2</xdr:row>
                <xdr:rowOff>129540</xdr:rowOff>
              </to>
            </anchor>
          </controlPr>
        </control>
      </mc:Choice>
      <mc:Fallback>
        <control shapeId="4097" r:id="rId3" name="CommandButton1"/>
      </mc:Fallback>
    </mc:AlternateContent>
    <mc:AlternateContent xmlns:mc="http://schemas.openxmlformats.org/markup-compatibility/2006">
      <mc:Choice Requires="x14">
        <control shapeId="4099" r:id="rId5" name="CommandButton2">
          <controlPr defaultSize="0" autoLine="0" r:id="rId6">
            <anchor moveWithCells="1">
              <from>
                <xdr:col>0</xdr:col>
                <xdr:colOff>480060</xdr:colOff>
                <xdr:row>6</xdr:row>
                <xdr:rowOff>0</xdr:rowOff>
              </from>
              <to>
                <xdr:col>2</xdr:col>
                <xdr:colOff>259080</xdr:colOff>
                <xdr:row>7</xdr:row>
                <xdr:rowOff>91440</xdr:rowOff>
              </to>
            </anchor>
          </controlPr>
        </control>
      </mc:Choice>
      <mc:Fallback>
        <control shapeId="4099" r:id="rId5" name="CommandButton2"/>
      </mc:Fallback>
    </mc:AlternateContent>
    <mc:AlternateContent xmlns:mc="http://schemas.openxmlformats.org/markup-compatibility/2006">
      <mc:Choice Requires="x14">
        <control shapeId="4100" r:id="rId7" name="Drop Down 4">
          <controlPr defaultSize="0" autoLine="0" autoPict="0">
            <anchor moveWithCells="1">
              <from>
                <xdr:col>4</xdr:col>
                <xdr:colOff>22860</xdr:colOff>
                <xdr:row>1</xdr:row>
                <xdr:rowOff>182880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1" r:id="rId8" name="Button 5">
          <controlPr defaultSize="0" print="0" autoFill="0" autoPict="0" macro="[0]!Сортировка">
            <anchor moveWithCells="1" sizeWithCells="1">
              <from>
                <xdr:col>5</xdr:col>
                <xdr:colOff>0</xdr:colOff>
                <xdr:row>5</xdr:row>
                <xdr:rowOff>22860</xdr:rowOff>
              </from>
              <to>
                <xdr:col>5</xdr:col>
                <xdr:colOff>960120</xdr:colOff>
                <xdr:row>6</xdr:row>
                <xdr:rowOff>45720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E2:F7"/>
  <sheetViews>
    <sheetView workbookViewId="0">
      <selection activeCell="F22" sqref="F22"/>
    </sheetView>
  </sheetViews>
  <sheetFormatPr defaultRowHeight="14.4" x14ac:dyDescent="0.3"/>
  <cols>
    <col min="5" max="5" width="14.5546875" bestFit="1" customWidth="1"/>
    <col min="6" max="6" width="19.5546875" bestFit="1" customWidth="1"/>
  </cols>
  <sheetData>
    <row r="2" spans="5:6" ht="15" thickBot="1" x14ac:dyDescent="0.35"/>
    <row r="3" spans="5:6" ht="15" thickBot="1" x14ac:dyDescent="0.35">
      <c r="E3" s="37" t="s">
        <v>44</v>
      </c>
      <c r="F3" s="38" t="s">
        <v>45</v>
      </c>
    </row>
    <row r="4" spans="5:6" x14ac:dyDescent="0.3">
      <c r="E4" s="41">
        <v>1</v>
      </c>
      <c r="F4" s="39" t="s">
        <v>46</v>
      </c>
    </row>
    <row r="5" spans="5:6" x14ac:dyDescent="0.3">
      <c r="E5" s="41">
        <v>2</v>
      </c>
      <c r="F5" s="39" t="s">
        <v>47</v>
      </c>
    </row>
    <row r="6" spans="5:6" x14ac:dyDescent="0.3">
      <c r="E6" s="41">
        <v>3</v>
      </c>
      <c r="F6" s="39" t="s">
        <v>48</v>
      </c>
    </row>
    <row r="7" spans="5:6" ht="15" thickBot="1" x14ac:dyDescent="0.35">
      <c r="E7" s="42">
        <v>4</v>
      </c>
      <c r="F7" s="40" t="s">
        <v>49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autoLine="0" r:id="rId5">
            <anchor moveWithCells="1">
              <from>
                <xdr:col>0</xdr:col>
                <xdr:colOff>441960</xdr:colOff>
                <xdr:row>1</xdr:row>
                <xdr:rowOff>106680</xdr:rowOff>
              </from>
              <to>
                <xdr:col>2</xdr:col>
                <xdr:colOff>137160</xdr:colOff>
                <xdr:row>3</xdr:row>
                <xdr:rowOff>30480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autoLine="0" r:id="rId4">
            <anchor moveWithCells="1">
              <from>
                <xdr:col>4</xdr:col>
                <xdr:colOff>480060</xdr:colOff>
                <xdr:row>7</xdr:row>
                <xdr:rowOff>144780</xdr:rowOff>
              </from>
              <to>
                <xdr:col>6</xdr:col>
                <xdr:colOff>175260</xdr:colOff>
                <xdr:row>9</xdr:row>
                <xdr:rowOff>83820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"/>
  <sheetViews>
    <sheetView workbookViewId="0">
      <selection activeCell="F8" sqref="F8"/>
    </sheetView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autoLine="0" r:id="rId4">
            <anchor moveWithCells="1">
              <from>
                <xdr:col>5</xdr:col>
                <xdr:colOff>541020</xdr:colOff>
                <xdr:row>7</xdr:row>
                <xdr:rowOff>38100</xdr:rowOff>
              </from>
              <to>
                <xdr:col>7</xdr:col>
                <xdr:colOff>236220</xdr:colOff>
                <xdr:row>8</xdr:row>
                <xdr:rowOff>160020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autoLine="0" r:id="rId4">
            <anchor moveWithCells="1">
              <from>
                <xdr:col>5</xdr:col>
                <xdr:colOff>541020</xdr:colOff>
                <xdr:row>8</xdr:row>
                <xdr:rowOff>68580</xdr:rowOff>
              </from>
              <to>
                <xdr:col>7</xdr:col>
                <xdr:colOff>236220</xdr:colOff>
                <xdr:row>10</xdr:row>
                <xdr:rowOff>7620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autoLine="0" r:id="rId4">
            <anchor moveWithCells="1">
              <from>
                <xdr:col>4</xdr:col>
                <xdr:colOff>533400</xdr:colOff>
                <xdr:row>7</xdr:row>
                <xdr:rowOff>83820</xdr:rowOff>
              </from>
              <to>
                <xdr:col>6</xdr:col>
                <xdr:colOff>228600</xdr:colOff>
                <xdr:row>9</xdr:row>
                <xdr:rowOff>22860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"/>
  <sheetViews>
    <sheetView workbookViewId="0">
      <selection activeCell="K29" sqref="K29"/>
    </sheetView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autoLine="0" r:id="rId4">
            <anchor moveWithCells="1">
              <from>
                <xdr:col>4</xdr:col>
                <xdr:colOff>342900</xdr:colOff>
                <xdr:row>7</xdr:row>
                <xdr:rowOff>30480</xdr:rowOff>
              </from>
              <to>
                <xdr:col>6</xdr:col>
                <xdr:colOff>38100</xdr:colOff>
                <xdr:row>8</xdr:row>
                <xdr:rowOff>152400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</vt:i4>
      </vt:variant>
    </vt:vector>
  </HeadingPairs>
  <TitlesOfParts>
    <vt:vector size="11" baseType="lpstr">
      <vt:lpstr>Заставка</vt:lpstr>
      <vt:lpstr>Меню</vt:lpstr>
      <vt:lpstr>Товары</vt:lpstr>
      <vt:lpstr>Продажи</vt:lpstr>
      <vt:lpstr>Поставщики</vt:lpstr>
      <vt:lpstr>Поставки</vt:lpstr>
      <vt:lpstr>Сотрудники</vt:lpstr>
      <vt:lpstr>Начисление зп</vt:lpstr>
      <vt:lpstr>Отчеты</vt:lpstr>
      <vt:lpstr>Система доступа</vt:lpstr>
      <vt:lpstr>№_заказа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Дети</dc:creator>
  <cp:lastModifiedBy>Kazak</cp:lastModifiedBy>
  <dcterms:created xsi:type="dcterms:W3CDTF">2021-10-19T09:04:20Z</dcterms:created>
  <dcterms:modified xsi:type="dcterms:W3CDTF">2023-02-28T08:08:43Z</dcterms:modified>
</cp:coreProperties>
</file>